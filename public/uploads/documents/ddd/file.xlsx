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arou\Downloads\"/>
    </mc:Choice>
  </mc:AlternateContent>
  <xr:revisionPtr revIDLastSave="0" documentId="13_ncr:1_{25BCEB80-8860-430F-9069-41E3DB1CF39A}" xr6:coauthVersionLast="47" xr6:coauthVersionMax="47" xr10:uidLastSave="{00000000-0000-0000-0000-000000000000}"/>
  <bookViews>
    <workbookView xWindow="-108" yWindow="-108" windowWidth="23256" windowHeight="12456" activeTab="5" xr2:uid="{5A2A1D32-0C26-420C-B15D-0BB7495B0D00}"/>
  </bookViews>
  <sheets>
    <sheet name="APC" sheetId="28" r:id="rId1"/>
    <sheet name="TCD-AGENT" sheetId="32" r:id="rId2"/>
    <sheet name="Feuil2" sheetId="48" r:id="rId3"/>
    <sheet name="Feuil1" sheetId="47" r:id="rId4"/>
    <sheet name="TABLEAU DE BORD" sheetId="38" r:id="rId5"/>
    <sheet name="agent-num" sheetId="33" r:id="rId6"/>
    <sheet name="TEAMS" sheetId="45" r:id="rId7"/>
  </sheets>
  <externalReferences>
    <externalReference r:id="rId8"/>
  </externalReferences>
  <definedNames>
    <definedName name="_xlnm._FilterDatabase" localSheetId="5" hidden="1">'agent-num'!$A$1:$H$21</definedName>
    <definedName name="analyse">#REF!</definedName>
    <definedName name="EVALUATİON">#REF!</definedName>
    <definedName name="Segment_Agent">#N/A</definedName>
    <definedName name="Segment_date">#N/A</definedName>
    <definedName name="tableau">#REF!</definedName>
  </definedNames>
  <calcPr calcId="191029"/>
  <pivotCaches>
    <pivotCache cacheId="1" r:id="rId9"/>
    <pivotCache cacheId="22" r:id="rId10"/>
  </pivotCaches>
  <fileRecoveryPr repairLoad="1"/>
  <extLst>
    <ext xmlns:x14="http://schemas.microsoft.com/office/spreadsheetml/2009/9/main" uri="{BBE1A952-AA13-448e-AADC-164F8A28A991}">
      <x14:slicerCaches>
        <x14:slicerCache r:id="rId11"/>
        <x14:slicerCache r:id="rId12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333" i="28" l="1"/>
  <c r="H1333" i="28"/>
  <c r="I1326" i="28"/>
  <c r="H1326" i="28"/>
  <c r="I1323" i="28"/>
  <c r="H1323" i="28"/>
  <c r="I1325" i="28"/>
  <c r="H1325" i="28"/>
  <c r="I1313" i="28"/>
  <c r="H1313" i="28"/>
  <c r="I1288" i="28"/>
  <c r="I1318" i="28"/>
  <c r="H1318" i="28"/>
  <c r="H1288" i="28"/>
  <c r="J1369" i="28"/>
  <c r="J1368" i="28"/>
  <c r="J1367" i="28"/>
  <c r="J1366" i="28"/>
  <c r="J1365" i="28"/>
  <c r="J1364" i="28"/>
  <c r="J1363" i="28"/>
  <c r="J1362" i="28"/>
  <c r="J1361" i="28"/>
  <c r="J1360" i="28"/>
  <c r="J1359" i="28"/>
  <c r="J1358" i="28"/>
  <c r="J1357" i="28"/>
  <c r="J1356" i="28"/>
  <c r="J1355" i="28"/>
  <c r="J1354" i="28"/>
  <c r="J1353" i="28"/>
  <c r="J1352" i="28"/>
  <c r="J1351" i="28"/>
  <c r="J1350" i="28"/>
  <c r="J1349" i="28"/>
  <c r="J1348" i="28"/>
  <c r="J1347" i="28"/>
  <c r="J1346" i="28"/>
  <c r="J1345" i="28"/>
  <c r="J1344" i="28"/>
  <c r="J1343" i="28"/>
  <c r="J1342" i="28"/>
  <c r="J1341" i="28"/>
  <c r="J1340" i="28"/>
  <c r="J1339" i="28"/>
  <c r="J1338" i="28"/>
  <c r="J1337" i="28"/>
  <c r="J1336" i="28"/>
  <c r="J1335" i="28"/>
  <c r="J1334" i="28"/>
  <c r="J1333" i="28"/>
  <c r="J1332" i="28"/>
  <c r="J1331" i="28"/>
  <c r="J1330" i="28"/>
  <c r="J1329" i="28"/>
  <c r="J1328" i="28"/>
  <c r="J1327" i="28"/>
  <c r="J1326" i="28"/>
  <c r="J1325" i="28"/>
  <c r="J1324" i="28"/>
  <c r="J1323" i="28"/>
  <c r="J1322" i="28"/>
  <c r="J1321" i="28"/>
  <c r="J1320" i="28"/>
  <c r="J1319" i="28"/>
  <c r="J1318" i="28"/>
  <c r="J1317" i="28"/>
  <c r="J1316" i="28"/>
  <c r="J1315" i="28"/>
  <c r="J1314" i="28"/>
  <c r="J1313" i="28"/>
  <c r="J1312" i="28"/>
  <c r="J1311" i="28"/>
  <c r="J1310" i="28"/>
  <c r="J1309" i="28"/>
  <c r="J1308" i="28"/>
  <c r="J1307" i="28"/>
  <c r="J1306" i="28"/>
  <c r="J1305" i="28"/>
  <c r="J1304" i="28"/>
  <c r="J1303" i="28"/>
  <c r="J1302" i="28"/>
  <c r="J1301" i="28"/>
  <c r="J1300" i="28"/>
  <c r="J1299" i="28"/>
  <c r="J1298" i="28"/>
  <c r="J1297" i="28"/>
  <c r="J1296" i="28"/>
  <c r="J1295" i="28"/>
  <c r="J1294" i="28"/>
  <c r="J1293" i="28"/>
  <c r="J1292" i="28"/>
  <c r="J1291" i="28"/>
  <c r="J1290" i="28"/>
  <c r="J1289" i="28"/>
  <c r="J1288" i="28"/>
  <c r="J1287" i="28"/>
  <c r="J1286" i="28"/>
  <c r="J1285" i="28"/>
  <c r="J1284" i="28"/>
  <c r="J1283" i="28"/>
  <c r="J1282" i="28"/>
  <c r="J1281" i="28"/>
  <c r="J1280" i="28"/>
  <c r="J1279" i="28"/>
  <c r="J1278" i="28"/>
  <c r="J1277" i="28"/>
  <c r="J1276" i="28"/>
  <c r="J1275" i="28"/>
  <c r="J1274" i="28"/>
  <c r="J1273" i="28"/>
  <c r="J1272" i="28"/>
  <c r="J1271" i="28"/>
  <c r="J1270" i="28"/>
  <c r="J1269" i="28"/>
  <c r="J1268" i="28"/>
  <c r="J1267" i="28"/>
  <c r="J1266" i="28"/>
  <c r="J1265" i="28"/>
  <c r="J1264" i="28"/>
  <c r="J1263" i="28"/>
  <c r="J1262" i="28"/>
  <c r="J1261" i="28"/>
  <c r="J1260" i="28"/>
  <c r="J1259" i="28"/>
  <c r="J1258" i="28"/>
  <c r="J1257" i="28"/>
  <c r="J1256" i="28"/>
  <c r="J1255" i="28"/>
  <c r="J1254" i="28"/>
  <c r="J1253" i="28"/>
  <c r="J1252" i="28"/>
  <c r="J1251" i="28"/>
  <c r="J1250" i="28"/>
  <c r="J1249" i="28"/>
  <c r="J1248" i="28"/>
  <c r="J1247" i="28"/>
  <c r="J1246" i="28"/>
  <c r="J1245" i="28"/>
  <c r="J1244" i="28"/>
  <c r="J1243" i="28"/>
  <c r="J1242" i="28"/>
  <c r="J1241" i="28"/>
  <c r="J1240" i="28"/>
  <c r="J1239" i="28"/>
  <c r="J1238" i="28"/>
  <c r="J1237" i="28"/>
  <c r="J1236" i="28"/>
  <c r="J1235" i="28"/>
  <c r="J1234" i="28"/>
  <c r="J1233" i="28"/>
  <c r="J1232" i="28"/>
  <c r="J1231" i="28"/>
  <c r="J1230" i="28"/>
  <c r="J1229" i="28"/>
  <c r="J1228" i="28"/>
  <c r="J1227" i="28"/>
  <c r="J1226" i="28"/>
  <c r="J1225" i="28"/>
  <c r="J1224" i="28"/>
  <c r="J1223" i="28"/>
  <c r="J1222" i="28"/>
  <c r="J1221" i="28"/>
  <c r="J1220" i="28"/>
  <c r="J1219" i="28"/>
  <c r="J1218" i="28"/>
  <c r="J1217" i="28"/>
  <c r="J1216" i="28"/>
  <c r="J1215" i="28"/>
  <c r="J1214" i="28"/>
  <c r="J1213" i="28"/>
  <c r="J1212" i="28"/>
  <c r="J1211" i="28"/>
  <c r="J1210" i="28"/>
  <c r="J1209" i="28"/>
  <c r="J1208" i="28"/>
  <c r="J1207" i="28"/>
  <c r="J1206" i="28"/>
  <c r="J1205" i="28"/>
  <c r="J1204" i="28"/>
  <c r="J1203" i="28"/>
  <c r="J1202" i="28"/>
  <c r="J1201" i="28"/>
  <c r="J1200" i="28"/>
  <c r="J1199" i="28"/>
  <c r="J1198" i="28"/>
  <c r="J1197" i="28"/>
  <c r="J1196" i="28"/>
  <c r="J1195" i="28"/>
  <c r="J1194" i="28"/>
  <c r="J1193" i="28"/>
  <c r="J1192" i="28"/>
  <c r="J1191" i="28"/>
  <c r="J1190" i="28"/>
  <c r="J1189" i="28"/>
  <c r="J1188" i="28"/>
  <c r="J1187" i="28"/>
  <c r="J1186" i="28"/>
  <c r="J1185" i="28"/>
  <c r="J1184" i="28"/>
  <c r="J1183" i="28"/>
  <c r="J1182" i="28"/>
  <c r="J1181" i="28"/>
  <c r="J1180" i="28"/>
  <c r="J1179" i="28"/>
  <c r="J1178" i="28"/>
  <c r="J1177" i="28"/>
  <c r="J1176" i="28"/>
  <c r="J1175" i="28"/>
  <c r="I1173" i="28"/>
  <c r="H1173" i="28"/>
  <c r="J1174" i="28"/>
  <c r="I1171" i="28"/>
  <c r="I1160" i="28"/>
  <c r="H1160" i="28"/>
  <c r="I1168" i="28"/>
  <c r="H1168" i="28"/>
  <c r="J1157" i="28"/>
  <c r="J1173" i="28"/>
  <c r="I1155" i="28"/>
  <c r="H1155" i="28"/>
  <c r="J1144" i="28"/>
  <c r="I20" i="47"/>
  <c r="I26" i="47"/>
  <c r="F26" i="47"/>
  <c r="I25" i="47"/>
  <c r="F25" i="47"/>
  <c r="I24" i="47"/>
  <c r="F24" i="47"/>
  <c r="I23" i="47"/>
  <c r="F23" i="47"/>
  <c r="I22" i="47"/>
  <c r="F22" i="47"/>
  <c r="I21" i="47"/>
  <c r="F21" i="47"/>
  <c r="F20" i="47"/>
  <c r="I19" i="47"/>
  <c r="F19" i="47"/>
  <c r="I18" i="47"/>
  <c r="F18" i="47"/>
  <c r="I17" i="47"/>
  <c r="F17" i="47"/>
  <c r="I16" i="47"/>
  <c r="F16" i="47"/>
  <c r="I15" i="47"/>
  <c r="F15" i="47"/>
  <c r="I14" i="47"/>
  <c r="F14" i="47"/>
  <c r="I13" i="47"/>
  <c r="F13" i="47"/>
  <c r="I12" i="47"/>
  <c r="F12" i="47"/>
  <c r="I11" i="47"/>
  <c r="F11" i="47"/>
  <c r="I10" i="47"/>
  <c r="F10" i="47"/>
  <c r="I9" i="47"/>
  <c r="F9" i="47"/>
  <c r="I8" i="47"/>
  <c r="F8" i="47"/>
  <c r="I7" i="47"/>
  <c r="F7" i="47"/>
  <c r="I6" i="47"/>
  <c r="F6" i="47"/>
  <c r="I5" i="47"/>
  <c r="F5" i="47"/>
  <c r="I4" i="47"/>
  <c r="F4" i="47"/>
  <c r="I3" i="47"/>
  <c r="F3" i="47"/>
  <c r="I2" i="47"/>
  <c r="F2" i="47"/>
  <c r="J1129" i="28"/>
  <c r="H1121" i="28"/>
  <c r="I1107" i="28"/>
  <c r="H1107" i="28"/>
  <c r="I1115" i="28"/>
  <c r="H1084" i="28"/>
  <c r="I1082" i="28"/>
  <c r="H1082" i="28"/>
  <c r="J1070" i="28"/>
  <c r="J1145" i="28"/>
  <c r="J1146" i="28"/>
  <c r="J1147" i="28"/>
  <c r="J1148" i="28"/>
  <c r="J1149" i="28"/>
  <c r="J1150" i="28"/>
  <c r="J1151" i="28"/>
  <c r="J1152" i="28"/>
  <c r="J1153" i="28"/>
  <c r="J1154" i="28"/>
  <c r="J1131" i="28"/>
  <c r="J1172" i="28"/>
  <c r="J1171" i="28"/>
  <c r="J1170" i="28"/>
  <c r="J1169" i="28"/>
  <c r="J1168" i="28"/>
  <c r="J1167" i="28"/>
  <c r="J1166" i="28"/>
  <c r="J1165" i="28"/>
  <c r="J1164" i="28"/>
  <c r="J1163" i="28"/>
  <c r="J1162" i="28"/>
  <c r="J1161" i="28"/>
  <c r="J1160" i="28"/>
  <c r="J1159" i="28"/>
  <c r="J1158" i="28"/>
  <c r="J1156" i="28"/>
  <c r="J1155" i="28"/>
  <c r="J1143" i="28"/>
  <c r="J1142" i="28"/>
  <c r="J1141" i="28"/>
  <c r="J1140" i="28"/>
  <c r="J1139" i="28"/>
  <c r="J1138" i="28"/>
  <c r="J1137" i="28"/>
  <c r="J1136" i="28"/>
  <c r="J1135" i="28"/>
  <c r="J1134" i="28"/>
  <c r="J1133" i="28"/>
  <c r="J1132" i="28"/>
  <c r="J1130" i="28"/>
  <c r="J1128" i="28"/>
  <c r="J1127" i="28"/>
  <c r="J1126" i="28"/>
  <c r="J1125" i="28"/>
  <c r="J1124" i="28"/>
  <c r="J1123" i="28"/>
  <c r="J1122" i="28"/>
  <c r="J1121" i="28"/>
  <c r="J1120" i="28"/>
  <c r="J1119" i="28"/>
  <c r="J1118" i="28"/>
  <c r="J1117" i="28"/>
  <c r="J1116" i="28"/>
  <c r="J1115" i="28"/>
  <c r="J1114" i="28"/>
  <c r="J1113" i="28"/>
  <c r="J1112" i="28"/>
  <c r="J1111" i="28"/>
  <c r="J1110" i="28"/>
  <c r="J1109" i="28"/>
  <c r="J1108" i="28"/>
  <c r="J1107" i="28"/>
  <c r="J1106" i="28"/>
  <c r="J1105" i="28"/>
  <c r="J1104" i="28"/>
  <c r="J1103" i="28"/>
  <c r="J1102" i="28"/>
  <c r="J1101" i="28"/>
  <c r="J1100" i="28"/>
  <c r="J1099" i="28"/>
  <c r="J1098" i="28"/>
  <c r="J1097" i="28"/>
  <c r="J1096" i="28"/>
  <c r="J1095" i="28"/>
  <c r="J1094" i="28"/>
  <c r="J1093" i="28"/>
  <c r="J1092" i="28"/>
  <c r="J1091" i="28"/>
  <c r="J1090" i="28"/>
  <c r="J1089" i="28"/>
  <c r="J1088" i="28"/>
  <c r="J1087" i="28"/>
  <c r="I1048" i="28"/>
  <c r="I995" i="28"/>
  <c r="I1003" i="28"/>
  <c r="I1000" i="28"/>
  <c r="I988" i="28"/>
  <c r="I980" i="28"/>
  <c r="I1057" i="28"/>
  <c r="I1051" i="28"/>
  <c r="I1060" i="28"/>
  <c r="I1043" i="28"/>
  <c r="I1030" i="28"/>
  <c r="I1028" i="28"/>
  <c r="I1040" i="28"/>
  <c r="J1086" i="28"/>
  <c r="J1085" i="28"/>
  <c r="J1084" i="28"/>
  <c r="J1083" i="28"/>
  <c r="J1082" i="28"/>
  <c r="J1081" i="28"/>
  <c r="J1080" i="28"/>
  <c r="J1079" i="28"/>
  <c r="J1078" i="28"/>
  <c r="J1077" i="28"/>
  <c r="J1076" i="28"/>
  <c r="J1075" i="28"/>
  <c r="J1074" i="28"/>
  <c r="J1073" i="28"/>
  <c r="J1072" i="28"/>
  <c r="J1071" i="28"/>
  <c r="J1069" i="28"/>
  <c r="J1068" i="28"/>
  <c r="J1067" i="28"/>
  <c r="J1066" i="28"/>
  <c r="J1065" i="28"/>
  <c r="J1064" i="28"/>
  <c r="J1063" i="28"/>
  <c r="J1062" i="28"/>
  <c r="J1061" i="28"/>
  <c r="J1060" i="28"/>
  <c r="J1059" i="28"/>
  <c r="J1058" i="28"/>
  <c r="J1057" i="28"/>
  <c r="J1056" i="28"/>
  <c r="J1055" i="28"/>
  <c r="J1054" i="28"/>
  <c r="J1053" i="28"/>
  <c r="J1052" i="28"/>
  <c r="J1051" i="28"/>
  <c r="J1050" i="28"/>
  <c r="J1049" i="28"/>
  <c r="J1048" i="28"/>
  <c r="I1020" i="28"/>
  <c r="I1010" i="28"/>
  <c r="I1009" i="28"/>
  <c r="I990" i="28"/>
  <c r="I989" i="28"/>
  <c r="H954" i="28"/>
  <c r="H934" i="28"/>
  <c r="I930" i="28"/>
  <c r="H930" i="28"/>
  <c r="J1047" i="28"/>
  <c r="J1046" i="28"/>
  <c r="J1045" i="28"/>
  <c r="J1044" i="28"/>
  <c r="J1043" i="28"/>
  <c r="J1042" i="28"/>
  <c r="J1041" i="28"/>
  <c r="J1040" i="28"/>
  <c r="J1039" i="28"/>
  <c r="J1038" i="28"/>
  <c r="J1037" i="28"/>
  <c r="J1036" i="28"/>
  <c r="J1035" i="28"/>
  <c r="J1034" i="28"/>
  <c r="J1033" i="28"/>
  <c r="J1032" i="28"/>
  <c r="J1031" i="28"/>
  <c r="J1030" i="28"/>
  <c r="J1029" i="28"/>
  <c r="J1028" i="28"/>
  <c r="J1027" i="28"/>
  <c r="J1026" i="28"/>
  <c r="J1025" i="28"/>
  <c r="J1024" i="28"/>
  <c r="J1023" i="28"/>
  <c r="J1022" i="28"/>
  <c r="J1021" i="28"/>
  <c r="J1020" i="28"/>
  <c r="J1019" i="28"/>
  <c r="J1018" i="28"/>
  <c r="J1017" i="28"/>
  <c r="J1016" i="28"/>
  <c r="J1015" i="28"/>
  <c r="J1014" i="28"/>
  <c r="J1013" i="28"/>
  <c r="J1012" i="28"/>
  <c r="J1011" i="28"/>
  <c r="J1010" i="28"/>
  <c r="J1009" i="28"/>
  <c r="J1008" i="28"/>
  <c r="J1007" i="28"/>
  <c r="J1006" i="28"/>
  <c r="J1005" i="28"/>
  <c r="J1004" i="28"/>
  <c r="J1003" i="28"/>
  <c r="J1002" i="28"/>
  <c r="J1001" i="28"/>
  <c r="J1000" i="28"/>
  <c r="J999" i="28"/>
  <c r="J998" i="28"/>
  <c r="J997" i="28"/>
  <c r="J996" i="28"/>
  <c r="J995" i="28"/>
  <c r="J994" i="28"/>
  <c r="J993" i="28"/>
  <c r="J992" i="28"/>
  <c r="J991" i="28"/>
  <c r="J990" i="28"/>
  <c r="J989" i="28"/>
  <c r="J988" i="28"/>
  <c r="J987" i="28"/>
  <c r="J986" i="28"/>
  <c r="J985" i="28"/>
  <c r="J984" i="28"/>
  <c r="J983" i="28"/>
  <c r="J982" i="28"/>
  <c r="J981" i="28"/>
  <c r="J980" i="28"/>
  <c r="J979" i="28"/>
  <c r="J978" i="28"/>
  <c r="J977" i="28"/>
  <c r="J976" i="28"/>
  <c r="J975" i="28"/>
  <c r="J974" i="28"/>
  <c r="J973" i="28"/>
  <c r="J972" i="28"/>
  <c r="J971" i="28"/>
  <c r="J970" i="28"/>
  <c r="J969" i="28"/>
  <c r="J968" i="28"/>
  <c r="J967" i="28"/>
  <c r="J966" i="28"/>
  <c r="J965" i="28"/>
  <c r="J964" i="28"/>
  <c r="J963" i="28"/>
  <c r="J962" i="28"/>
  <c r="J961" i="28"/>
  <c r="J960" i="28"/>
  <c r="J959" i="28"/>
  <c r="J958" i="28"/>
  <c r="J957" i="28"/>
  <c r="J956" i="28"/>
  <c r="J955" i="28"/>
  <c r="J954" i="28"/>
  <c r="J953" i="28"/>
  <c r="J952" i="28"/>
  <c r="J951" i="28"/>
  <c r="J950" i="28"/>
  <c r="J949" i="28"/>
  <c r="J948" i="28"/>
  <c r="J947" i="28"/>
  <c r="J946" i="28"/>
  <c r="J945" i="28"/>
  <c r="J944" i="28"/>
  <c r="J943" i="28"/>
  <c r="J942" i="28"/>
  <c r="J941" i="28"/>
  <c r="J940" i="28"/>
  <c r="J939" i="28"/>
  <c r="J938" i="28"/>
  <c r="J937" i="28"/>
  <c r="J936" i="28"/>
  <c r="J935" i="28"/>
  <c r="J934" i="28"/>
  <c r="J933" i="28"/>
  <c r="J932" i="28"/>
  <c r="J931" i="28"/>
  <c r="J930" i="28"/>
  <c r="J929" i="28"/>
  <c r="J928" i="28"/>
  <c r="I908" i="28"/>
  <c r="H908" i="28"/>
  <c r="I920" i="28"/>
  <c r="H920" i="28"/>
  <c r="I925" i="28"/>
  <c r="H925" i="28"/>
  <c r="I909" i="28"/>
  <c r="H909" i="28"/>
  <c r="J927" i="28"/>
  <c r="J926" i="28"/>
  <c r="J925" i="28"/>
  <c r="J924" i="28"/>
  <c r="J923" i="28"/>
  <c r="J922" i="28"/>
  <c r="J921" i="28"/>
  <c r="J920" i="28"/>
  <c r="J919" i="28"/>
  <c r="J918" i="28"/>
  <c r="J917" i="28"/>
  <c r="J916" i="28"/>
  <c r="J915" i="28"/>
  <c r="J914" i="28"/>
  <c r="J913" i="28"/>
  <c r="J912" i="28"/>
  <c r="J911" i="28"/>
  <c r="J910" i="28"/>
  <c r="J909" i="28"/>
  <c r="J908" i="28"/>
  <c r="I886" i="28"/>
  <c r="H886" i="28"/>
  <c r="I869" i="28"/>
  <c r="H869" i="28"/>
  <c r="H843" i="28"/>
  <c r="I845" i="28"/>
  <c r="H845" i="28"/>
  <c r="I837" i="28"/>
  <c r="H837" i="28"/>
  <c r="I830" i="28"/>
  <c r="H830" i="28"/>
  <c r="H812" i="28"/>
  <c r="I785" i="28"/>
  <c r="H785" i="28"/>
  <c r="J907" i="28"/>
  <c r="J906" i="28"/>
  <c r="J905" i="28"/>
  <c r="J904" i="28"/>
  <c r="J903" i="28"/>
  <c r="J902" i="28"/>
  <c r="J901" i="28"/>
  <c r="J900" i="28"/>
  <c r="J899" i="28"/>
  <c r="J898" i="28"/>
  <c r="J897" i="28"/>
  <c r="J896" i="28"/>
  <c r="J895" i="28"/>
  <c r="J894" i="28"/>
  <c r="J893" i="28"/>
  <c r="J892" i="28"/>
  <c r="J891" i="28"/>
  <c r="J890" i="28"/>
  <c r="J889" i="28"/>
  <c r="J888" i="28"/>
  <c r="J887" i="28"/>
  <c r="J886" i="28"/>
  <c r="J885" i="28"/>
  <c r="J884" i="28"/>
  <c r="J883" i="28"/>
  <c r="J882" i="28"/>
  <c r="J881" i="28"/>
  <c r="J880" i="28"/>
  <c r="J879" i="28"/>
  <c r="J878" i="28"/>
  <c r="J877" i="28"/>
  <c r="J876" i="28"/>
  <c r="J875" i="28"/>
  <c r="J874" i="28"/>
  <c r="J873" i="28"/>
  <c r="J872" i="28"/>
  <c r="J871" i="28"/>
  <c r="J870" i="28"/>
  <c r="J869" i="28"/>
  <c r="J868" i="28"/>
  <c r="B27" i="32"/>
  <c r="D26" i="32"/>
  <c r="C26" i="32"/>
  <c r="B26" i="32"/>
  <c r="B69" i="32"/>
  <c r="H760" i="28"/>
  <c r="I762" i="28"/>
  <c r="H762" i="28"/>
  <c r="I738" i="28"/>
  <c r="H738" i="28"/>
  <c r="I740" i="28"/>
  <c r="H740" i="28"/>
  <c r="I711" i="28"/>
  <c r="H711" i="28"/>
  <c r="H710" i="28"/>
  <c r="I722" i="28"/>
  <c r="H722" i="28"/>
  <c r="I700" i="28"/>
  <c r="H700" i="28"/>
  <c r="H692" i="28"/>
  <c r="I706" i="28"/>
  <c r="H706" i="28"/>
  <c r="H705" i="28"/>
  <c r="I693" i="28"/>
  <c r="H693" i="28"/>
  <c r="I691" i="28"/>
  <c r="H691" i="28"/>
  <c r="I688" i="28"/>
  <c r="H689" i="28"/>
  <c r="I671" i="28"/>
  <c r="H671" i="28"/>
  <c r="H687" i="28"/>
  <c r="I686" i="28"/>
  <c r="H686" i="28"/>
  <c r="H674" i="28"/>
  <c r="I685" i="28"/>
  <c r="H685" i="28"/>
  <c r="I673" i="28"/>
  <c r="H673" i="28"/>
  <c r="H682" i="28"/>
  <c r="I631" i="28"/>
  <c r="H631" i="28"/>
  <c r="I643" i="28"/>
  <c r="H643" i="28"/>
  <c r="J867" i="28"/>
  <c r="J866" i="28"/>
  <c r="J865" i="28"/>
  <c r="J864" i="28"/>
  <c r="J863" i="28"/>
  <c r="J862" i="28"/>
  <c r="J861" i="28"/>
  <c r="J860" i="28"/>
  <c r="J859" i="28"/>
  <c r="J858" i="28"/>
  <c r="J857" i="28"/>
  <c r="J856" i="28"/>
  <c r="J855" i="28"/>
  <c r="J854" i="28"/>
  <c r="J853" i="28"/>
  <c r="J852" i="28"/>
  <c r="J851" i="28"/>
  <c r="J850" i="28"/>
  <c r="J849" i="28"/>
  <c r="J848" i="28"/>
  <c r="J847" i="28"/>
  <c r="J846" i="28"/>
  <c r="J845" i="28"/>
  <c r="J844" i="28"/>
  <c r="J843" i="28"/>
  <c r="J842" i="28"/>
  <c r="J841" i="28"/>
  <c r="J840" i="28"/>
  <c r="J839" i="28"/>
  <c r="J838" i="28"/>
  <c r="J837" i="28"/>
  <c r="J836" i="28"/>
  <c r="J835" i="28"/>
  <c r="J834" i="28"/>
  <c r="J833" i="28"/>
  <c r="J832" i="28"/>
  <c r="J831" i="28"/>
  <c r="J830" i="28"/>
  <c r="J829" i="28"/>
  <c r="J828" i="28"/>
  <c r="J827" i="28"/>
  <c r="J826" i="28"/>
  <c r="J825" i="28"/>
  <c r="J824" i="28"/>
  <c r="J823" i="28"/>
  <c r="J822" i="28"/>
  <c r="J821" i="28"/>
  <c r="J820" i="28"/>
  <c r="J819" i="28"/>
  <c r="J818" i="28"/>
  <c r="J817" i="28"/>
  <c r="J816" i="28"/>
  <c r="J815" i="28"/>
  <c r="J814" i="28"/>
  <c r="J813" i="28"/>
  <c r="J812" i="28"/>
  <c r="J811" i="28"/>
  <c r="J810" i="28"/>
  <c r="J809" i="28"/>
  <c r="J808" i="28"/>
  <c r="J807" i="28"/>
  <c r="J806" i="28"/>
  <c r="J805" i="28"/>
  <c r="J804" i="28"/>
  <c r="J803" i="28"/>
  <c r="J802" i="28"/>
  <c r="J801" i="28"/>
  <c r="J800" i="28"/>
  <c r="J799" i="28"/>
  <c r="J798" i="28"/>
  <c r="J797" i="28"/>
  <c r="J796" i="28"/>
  <c r="J795" i="28"/>
  <c r="J794" i="28"/>
  <c r="J793" i="28"/>
  <c r="J792" i="28"/>
  <c r="J791" i="28"/>
  <c r="J790" i="28"/>
  <c r="J789" i="28"/>
  <c r="J788" i="28"/>
  <c r="J787" i="28"/>
  <c r="J786" i="28"/>
  <c r="J785" i="28"/>
  <c r="J784" i="28"/>
  <c r="J783" i="28"/>
  <c r="J782" i="28"/>
  <c r="J781" i="28"/>
  <c r="J780" i="28"/>
  <c r="J779" i="28"/>
  <c r="J778" i="28"/>
  <c r="J777" i="28"/>
  <c r="J776" i="28"/>
  <c r="J775" i="28"/>
  <c r="J774" i="28"/>
  <c r="J773" i="28"/>
  <c r="J772" i="28"/>
  <c r="J771" i="28"/>
  <c r="J770" i="28"/>
  <c r="J769" i="28"/>
  <c r="J768" i="28"/>
  <c r="J767" i="28"/>
  <c r="J766" i="28"/>
  <c r="J765" i="28"/>
  <c r="J764" i="28"/>
  <c r="J763" i="28"/>
  <c r="J762" i="28"/>
  <c r="J761" i="28"/>
  <c r="J760" i="28"/>
  <c r="J759" i="28"/>
  <c r="J758" i="28"/>
  <c r="J757" i="28"/>
  <c r="J756" i="28"/>
  <c r="J755" i="28"/>
  <c r="J754" i="28"/>
  <c r="J753" i="28"/>
  <c r="J752" i="28"/>
  <c r="J751" i="28"/>
  <c r="J750" i="28"/>
  <c r="J749" i="28"/>
  <c r="J748" i="28"/>
  <c r="J747" i="28"/>
  <c r="J746" i="28"/>
  <c r="J745" i="28"/>
  <c r="J744" i="28"/>
  <c r="J743" i="28"/>
  <c r="J742" i="28"/>
  <c r="J741" i="28"/>
  <c r="J740" i="28"/>
  <c r="J739" i="28"/>
  <c r="J738" i="28"/>
  <c r="J737" i="28"/>
  <c r="J736" i="28"/>
  <c r="J735" i="28"/>
  <c r="J734" i="28"/>
  <c r="J733" i="28"/>
  <c r="J732" i="28"/>
  <c r="J731" i="28"/>
  <c r="J730" i="28"/>
  <c r="J729" i="28"/>
  <c r="J728" i="28"/>
  <c r="J727" i="28"/>
  <c r="J726" i="28"/>
  <c r="J725" i="28"/>
  <c r="J724" i="28"/>
  <c r="J723" i="28"/>
  <c r="J722" i="28"/>
  <c r="J721" i="28"/>
  <c r="J720" i="28"/>
  <c r="J719" i="28"/>
  <c r="J718" i="28"/>
  <c r="J717" i="28"/>
  <c r="J716" i="28"/>
  <c r="J715" i="28"/>
  <c r="J714" i="28"/>
  <c r="J713" i="28"/>
  <c r="J712" i="28"/>
  <c r="J711" i="28"/>
  <c r="J710" i="28"/>
  <c r="J709" i="28"/>
  <c r="J708" i="28"/>
  <c r="J707" i="28"/>
  <c r="J706" i="28"/>
  <c r="J705" i="28"/>
  <c r="J704" i="28"/>
  <c r="J703" i="28"/>
  <c r="J702" i="28"/>
  <c r="J701" i="28"/>
  <c r="J700" i="28"/>
  <c r="J699" i="28"/>
  <c r="J698" i="28"/>
  <c r="J697" i="28"/>
  <c r="J696" i="28"/>
  <c r="J695" i="28"/>
  <c r="J694" i="28"/>
  <c r="J693" i="28"/>
  <c r="J692" i="28"/>
  <c r="J691" i="28"/>
  <c r="J690" i="28"/>
  <c r="J689" i="28"/>
  <c r="J688" i="28"/>
  <c r="J687" i="28"/>
  <c r="J686" i="28"/>
  <c r="J685" i="28"/>
  <c r="J684" i="28"/>
  <c r="J683" i="28"/>
  <c r="J682" i="28"/>
  <c r="J681" i="28"/>
  <c r="J680" i="28"/>
  <c r="J679" i="28"/>
  <c r="J678" i="28"/>
  <c r="J677" i="28"/>
  <c r="J676" i="28"/>
  <c r="J675" i="28"/>
  <c r="J674" i="28"/>
  <c r="J673" i="28"/>
  <c r="J672" i="28"/>
  <c r="J671" i="28"/>
  <c r="J670" i="28"/>
  <c r="J665" i="28"/>
  <c r="J646" i="28"/>
  <c r="J647" i="28"/>
  <c r="J648" i="28"/>
  <c r="J649" i="28"/>
  <c r="J650" i="28"/>
  <c r="J651" i="28"/>
  <c r="J652" i="28"/>
  <c r="J653" i="28"/>
  <c r="J654" i="28"/>
  <c r="J655" i="28"/>
  <c r="J656" i="28"/>
  <c r="J657" i="28"/>
  <c r="J658" i="28"/>
  <c r="J659" i="28"/>
  <c r="J660" i="28"/>
  <c r="J661" i="28"/>
  <c r="J662" i="28"/>
  <c r="J663" i="28"/>
  <c r="J664" i="28"/>
  <c r="J666" i="28"/>
  <c r="J667" i="28"/>
  <c r="J668" i="28"/>
  <c r="J669" i="28"/>
  <c r="J645" i="28"/>
  <c r="J644" i="28"/>
  <c r="J643" i="28"/>
  <c r="J642" i="28"/>
  <c r="J641" i="28"/>
  <c r="J640" i="28"/>
  <c r="J639" i="28"/>
  <c r="J638" i="28"/>
  <c r="J637" i="28"/>
  <c r="J636" i="28"/>
  <c r="J635" i="28"/>
  <c r="J634" i="28"/>
  <c r="J633" i="28"/>
  <c r="J632" i="28"/>
  <c r="J631" i="28"/>
  <c r="J279" i="28"/>
  <c r="J280" i="28"/>
  <c r="J281" i="28"/>
  <c r="J282" i="28"/>
  <c r="J283" i="28"/>
  <c r="J284" i="28"/>
  <c r="J285" i="28"/>
  <c r="J286" i="28"/>
  <c r="J287" i="28"/>
  <c r="J288" i="28"/>
  <c r="J289" i="28"/>
  <c r="J290" i="28"/>
  <c r="J291" i="28"/>
  <c r="J292" i="28"/>
  <c r="J293" i="28"/>
  <c r="J294" i="28"/>
  <c r="J295" i="28"/>
  <c r="J296" i="28"/>
  <c r="J297" i="28"/>
  <c r="J298" i="28"/>
  <c r="J299" i="28"/>
  <c r="J300" i="28"/>
  <c r="J301" i="28"/>
  <c r="J302" i="28"/>
  <c r="J303" i="28"/>
  <c r="J304" i="28"/>
  <c r="J305" i="28"/>
  <c r="J306" i="28"/>
  <c r="J307" i="28"/>
  <c r="J308" i="28"/>
  <c r="J309" i="28"/>
  <c r="J310" i="28"/>
  <c r="J311" i="28"/>
  <c r="J312" i="28"/>
  <c r="J313" i="28"/>
  <c r="J314" i="28"/>
  <c r="J315" i="28"/>
  <c r="J316" i="28"/>
  <c r="J317" i="28"/>
  <c r="J318" i="28"/>
  <c r="J319" i="28"/>
  <c r="J320" i="28"/>
  <c r="J321" i="28"/>
  <c r="J322" i="28"/>
  <c r="J323" i="28"/>
  <c r="J324" i="28"/>
  <c r="J325" i="28"/>
  <c r="J326" i="28"/>
  <c r="J327" i="28"/>
  <c r="J328" i="28"/>
  <c r="J329" i="28"/>
  <c r="J330" i="28"/>
  <c r="J331" i="28"/>
  <c r="J332" i="28"/>
  <c r="J333" i="28"/>
  <c r="J334" i="28"/>
  <c r="J335" i="28"/>
  <c r="J336" i="28"/>
  <c r="J337" i="28"/>
  <c r="J338" i="28"/>
  <c r="J339" i="28"/>
  <c r="J340" i="28"/>
  <c r="J341" i="28"/>
  <c r="J342" i="28"/>
  <c r="J343" i="28"/>
  <c r="J344" i="28"/>
  <c r="J345" i="28"/>
  <c r="J346" i="28"/>
  <c r="J347" i="28"/>
  <c r="J348" i="28"/>
  <c r="J349" i="28"/>
  <c r="J350" i="28"/>
  <c r="J351" i="28"/>
  <c r="J352" i="28"/>
  <c r="J353" i="28"/>
  <c r="J354" i="28"/>
  <c r="J355" i="28"/>
  <c r="J356" i="28"/>
  <c r="J357" i="28"/>
  <c r="J358" i="28"/>
  <c r="J359" i="28"/>
  <c r="J360" i="28"/>
  <c r="J361" i="28"/>
  <c r="J362" i="28"/>
  <c r="J363" i="28"/>
  <c r="J364" i="28"/>
  <c r="J365" i="28"/>
  <c r="J366" i="28"/>
  <c r="J367" i="28"/>
  <c r="J368" i="28"/>
  <c r="J369" i="28"/>
  <c r="J370" i="28"/>
  <c r="J371" i="28"/>
  <c r="J372" i="28"/>
  <c r="J373" i="28"/>
  <c r="J374" i="28"/>
  <c r="J375" i="28"/>
  <c r="J376" i="28"/>
  <c r="J377" i="28"/>
  <c r="J378" i="28"/>
  <c r="J379" i="28"/>
  <c r="J380" i="28"/>
  <c r="J381" i="28"/>
  <c r="J382" i="28"/>
  <c r="J383" i="28"/>
  <c r="J384" i="28"/>
  <c r="J385" i="28"/>
  <c r="J386" i="28"/>
  <c r="J387" i="28"/>
  <c r="J388" i="28"/>
  <c r="J389" i="28"/>
  <c r="J390" i="28"/>
  <c r="J391" i="28"/>
  <c r="J392" i="28"/>
  <c r="J393" i="28"/>
  <c r="J394" i="28"/>
  <c r="J395" i="28"/>
  <c r="J396" i="28"/>
  <c r="J397" i="28"/>
  <c r="J398" i="28"/>
  <c r="J399" i="28"/>
  <c r="J400" i="28"/>
  <c r="J401" i="28"/>
  <c r="J402" i="28"/>
  <c r="J403" i="28"/>
  <c r="J404" i="28"/>
  <c r="J405" i="28"/>
  <c r="J406" i="28"/>
  <c r="J407" i="28"/>
  <c r="J408" i="28"/>
  <c r="J409" i="28"/>
  <c r="J410" i="28"/>
  <c r="J411" i="28"/>
  <c r="J412" i="28"/>
  <c r="J413" i="28"/>
  <c r="J414" i="28"/>
  <c r="J415" i="28"/>
  <c r="J416" i="28"/>
  <c r="J417" i="28"/>
  <c r="J418" i="28"/>
  <c r="J419" i="28"/>
  <c r="J420" i="28"/>
  <c r="J421" i="28"/>
  <c r="J422" i="28"/>
  <c r="J423" i="28"/>
  <c r="J424" i="28"/>
  <c r="J425" i="28"/>
  <c r="J426" i="28"/>
  <c r="J427" i="28"/>
  <c r="J428" i="28"/>
  <c r="J429" i="28"/>
  <c r="J430" i="28"/>
  <c r="J431" i="28"/>
  <c r="J432" i="28"/>
  <c r="J433" i="28"/>
  <c r="J434" i="28"/>
  <c r="J435" i="28"/>
  <c r="J436" i="28"/>
  <c r="J437" i="28"/>
  <c r="J438" i="28"/>
  <c r="J439" i="28"/>
  <c r="J440" i="28"/>
  <c r="J441" i="28"/>
  <c r="J442" i="28"/>
  <c r="J443" i="28"/>
  <c r="J444" i="28"/>
  <c r="J445" i="28"/>
  <c r="J446" i="28"/>
  <c r="J447" i="28"/>
  <c r="J448" i="28"/>
  <c r="J449" i="28"/>
  <c r="J450" i="28"/>
  <c r="J451" i="28"/>
  <c r="J452" i="28"/>
  <c r="J453" i="28"/>
  <c r="J454" i="28"/>
  <c r="J455" i="28"/>
  <c r="J456" i="28"/>
  <c r="J457" i="28"/>
  <c r="J458" i="28"/>
  <c r="J459" i="28"/>
  <c r="J460" i="28"/>
  <c r="J461" i="28"/>
  <c r="J462" i="28"/>
  <c r="J463" i="28"/>
  <c r="J464" i="28"/>
  <c r="J465" i="28"/>
  <c r="J466" i="28"/>
  <c r="J467" i="28"/>
  <c r="J468" i="28"/>
  <c r="J469" i="28"/>
  <c r="J470" i="28"/>
  <c r="J471" i="28"/>
  <c r="J472" i="28"/>
  <c r="J473" i="28"/>
  <c r="J474" i="28"/>
  <c r="J475" i="28"/>
  <c r="J476" i="28"/>
  <c r="J477" i="28"/>
  <c r="J478" i="28"/>
  <c r="J479" i="28"/>
  <c r="J480" i="28"/>
  <c r="J481" i="28"/>
  <c r="J482" i="28"/>
  <c r="J483" i="28"/>
  <c r="J484" i="28"/>
  <c r="J485" i="28"/>
  <c r="J486" i="28"/>
  <c r="J487" i="28"/>
  <c r="J488" i="28"/>
  <c r="J489" i="28"/>
  <c r="J490" i="28"/>
  <c r="J491" i="28"/>
  <c r="J492" i="28"/>
  <c r="J493" i="28"/>
  <c r="J494" i="28"/>
  <c r="J495" i="28"/>
  <c r="J496" i="28"/>
  <c r="J497" i="28"/>
  <c r="J498" i="28"/>
  <c r="J499" i="28"/>
  <c r="J500" i="28"/>
  <c r="J501" i="28"/>
  <c r="J502" i="28"/>
  <c r="J503" i="28"/>
  <c r="J504" i="28"/>
  <c r="J505" i="28"/>
  <c r="J506" i="28"/>
  <c r="J507" i="28"/>
  <c r="J508" i="28"/>
  <c r="J509" i="28"/>
  <c r="J510" i="28"/>
  <c r="J511" i="28"/>
  <c r="J512" i="28"/>
  <c r="J513" i="28"/>
  <c r="J514" i="28"/>
  <c r="J515" i="28"/>
  <c r="J516" i="28"/>
  <c r="J517" i="28"/>
  <c r="J518" i="28"/>
  <c r="J519" i="28"/>
  <c r="J520" i="28"/>
  <c r="J521" i="28"/>
  <c r="J522" i="28"/>
  <c r="J523" i="28"/>
  <c r="J524" i="28"/>
  <c r="J525" i="28"/>
  <c r="J526" i="28"/>
  <c r="J527" i="28"/>
  <c r="J528" i="28"/>
  <c r="J529" i="28"/>
  <c r="J530" i="28"/>
  <c r="J531" i="28"/>
  <c r="J532" i="28"/>
  <c r="J533" i="28"/>
  <c r="J534" i="28"/>
  <c r="J535" i="28"/>
  <c r="J536" i="28"/>
  <c r="J537" i="28"/>
  <c r="J538" i="28"/>
  <c r="J539" i="28"/>
  <c r="J540" i="28"/>
  <c r="J541" i="28"/>
  <c r="J542" i="28"/>
  <c r="J543" i="28"/>
  <c r="J544" i="28"/>
  <c r="J545" i="28"/>
  <c r="J546" i="28"/>
  <c r="J547" i="28"/>
  <c r="J548" i="28"/>
  <c r="J549" i="28"/>
  <c r="J550" i="28"/>
  <c r="J551" i="28"/>
  <c r="J552" i="28"/>
  <c r="J554" i="28"/>
  <c r="J555" i="28"/>
  <c r="J556" i="28"/>
  <c r="J557" i="28"/>
  <c r="J558" i="28"/>
  <c r="J559" i="28"/>
  <c r="J560" i="28"/>
  <c r="J561" i="28"/>
  <c r="J562" i="28"/>
  <c r="J563" i="28"/>
  <c r="J564" i="28"/>
  <c r="J565" i="28"/>
  <c r="J566" i="28"/>
  <c r="J567" i="28"/>
  <c r="J568" i="28"/>
  <c r="J569" i="28"/>
  <c r="J570" i="28"/>
  <c r="J571" i="28"/>
  <c r="J572" i="28"/>
  <c r="J573" i="28"/>
  <c r="J574" i="28"/>
  <c r="J575" i="28"/>
  <c r="J576" i="28"/>
  <c r="J577" i="28"/>
  <c r="J578" i="28"/>
  <c r="J579" i="28"/>
  <c r="J580" i="28"/>
  <c r="J581" i="28"/>
  <c r="J582" i="28"/>
  <c r="J583" i="28"/>
  <c r="J584" i="28"/>
  <c r="J585" i="28"/>
  <c r="J586" i="28"/>
  <c r="J587" i="28"/>
  <c r="J588" i="28"/>
  <c r="J589" i="28"/>
  <c r="J590" i="28"/>
  <c r="J591" i="28"/>
  <c r="J592" i="28"/>
  <c r="J593" i="28"/>
  <c r="J594" i="28"/>
  <c r="J595" i="28"/>
  <c r="J596" i="28"/>
  <c r="J597" i="28"/>
  <c r="J598" i="28"/>
  <c r="J599" i="28"/>
  <c r="J600" i="28"/>
  <c r="J601" i="28"/>
  <c r="J602" i="28"/>
  <c r="J603" i="28"/>
  <c r="J604" i="28"/>
  <c r="J605" i="28"/>
  <c r="J606" i="28"/>
  <c r="J607" i="28"/>
  <c r="J608" i="28"/>
  <c r="J609" i="28"/>
  <c r="J610" i="28"/>
  <c r="J611" i="28"/>
  <c r="J612" i="28"/>
  <c r="J613" i="28"/>
  <c r="J614" i="28"/>
  <c r="J615" i="28"/>
  <c r="J616" i="28"/>
  <c r="J617" i="28"/>
  <c r="J618" i="28"/>
  <c r="J619" i="28"/>
  <c r="J620" i="28"/>
  <c r="J621" i="28"/>
  <c r="J622" i="28"/>
  <c r="J623" i="28"/>
  <c r="J624" i="28"/>
  <c r="J625" i="28"/>
  <c r="J626" i="28"/>
  <c r="J627" i="28"/>
  <c r="J628" i="28"/>
  <c r="J629" i="28"/>
  <c r="J630" i="28"/>
  <c r="J278" i="28"/>
  <c r="I602" i="28"/>
  <c r="I572" i="28"/>
  <c r="I618" i="28"/>
  <c r="H618" i="28"/>
  <c r="H615" i="28"/>
  <c r="H617" i="28"/>
  <c r="H613" i="28"/>
  <c r="I610" i="28"/>
  <c r="H610" i="28"/>
  <c r="I611" i="28"/>
  <c r="H611" i="28"/>
  <c r="I600" i="28"/>
  <c r="H600" i="28"/>
  <c r="I594" i="28"/>
  <c r="H594" i="28"/>
  <c r="I605" i="28"/>
  <c r="H605" i="28"/>
  <c r="I604" i="28"/>
  <c r="H604" i="28"/>
  <c r="H602" i="28"/>
  <c r="I596" i="28"/>
  <c r="H596" i="28"/>
  <c r="I561" i="28"/>
  <c r="H561" i="28"/>
  <c r="H555" i="28"/>
  <c r="I555" i="28"/>
  <c r="H556" i="28"/>
  <c r="I567" i="28"/>
  <c r="H567" i="28"/>
  <c r="I559" i="28"/>
  <c r="H559" i="28"/>
  <c r="H572" i="28"/>
  <c r="I545" i="28"/>
  <c r="H545" i="28"/>
  <c r="H538" i="28"/>
  <c r="I540" i="28"/>
  <c r="H540" i="28"/>
  <c r="I553" i="28"/>
  <c r="H553" i="28"/>
  <c r="F553" i="28"/>
  <c r="I547" i="28"/>
  <c r="H547" i="28"/>
  <c r="I537" i="28"/>
  <c r="H537" i="28"/>
  <c r="H541" i="28"/>
  <c r="I536" i="28"/>
  <c r="H536" i="28"/>
  <c r="I542" i="28"/>
  <c r="H542" i="28"/>
  <c r="H510" i="28"/>
  <c r="H507" i="28"/>
  <c r="H504" i="28"/>
  <c r="I499" i="28"/>
  <c r="H499" i="28"/>
  <c r="H502" i="28"/>
  <c r="I510" i="28"/>
  <c r="H488" i="28"/>
  <c r="I493" i="28"/>
  <c r="H493" i="28"/>
  <c r="I487" i="28"/>
  <c r="H487" i="28"/>
  <c r="H481" i="28"/>
  <c r="H484" i="28"/>
  <c r="H483" i="28"/>
  <c r="I497" i="28"/>
  <c r="H497" i="28"/>
  <c r="I492" i="28"/>
  <c r="H492" i="28"/>
  <c r="H480" i="28"/>
  <c r="I472" i="28"/>
  <c r="H472" i="28"/>
  <c r="I469" i="28"/>
  <c r="H469" i="28"/>
  <c r="I427" i="28"/>
  <c r="H427" i="28"/>
  <c r="I424" i="28"/>
  <c r="H424" i="28"/>
  <c r="H426" i="28"/>
  <c r="H439" i="28"/>
  <c r="H433" i="28"/>
  <c r="I415" i="28"/>
  <c r="H415" i="28"/>
  <c r="I407" i="28"/>
  <c r="H407" i="28"/>
  <c r="I417" i="28"/>
  <c r="H417" i="28"/>
  <c r="I409" i="28"/>
  <c r="H409" i="28"/>
  <c r="H405" i="28"/>
  <c r="I370" i="28"/>
  <c r="H370" i="28"/>
  <c r="I319" i="28"/>
  <c r="I301" i="28"/>
  <c r="H360" i="28"/>
  <c r="I344" i="28"/>
  <c r="H344" i="28"/>
  <c r="I315" i="28"/>
  <c r="I324" i="28"/>
  <c r="I285" i="28"/>
  <c r="I318" i="28"/>
  <c r="H318" i="28"/>
  <c r="H315" i="28"/>
  <c r="H317" i="28"/>
  <c r="H320" i="28"/>
  <c r="H319" i="28"/>
  <c r="H324" i="28"/>
  <c r="G292" i="28"/>
  <c r="G293" i="28"/>
  <c r="G291" i="28"/>
  <c r="G301" i="28"/>
  <c r="G300" i="28"/>
  <c r="G299" i="28"/>
  <c r="G298" i="28"/>
  <c r="G297" i="28"/>
  <c r="G308" i="28"/>
  <c r="G307" i="28"/>
  <c r="G306" i="28"/>
  <c r="G305" i="28"/>
  <c r="J3" i="28"/>
  <c r="J4" i="28"/>
  <c r="J5" i="28"/>
  <c r="J6" i="28"/>
  <c r="J7" i="28"/>
  <c r="J8" i="28"/>
  <c r="J9" i="28"/>
  <c r="J10" i="28"/>
  <c r="J11" i="28"/>
  <c r="J12" i="28"/>
  <c r="J13" i="28"/>
  <c r="J14" i="28"/>
  <c r="J15" i="28"/>
  <c r="J16" i="28"/>
  <c r="J17" i="28"/>
  <c r="J18" i="28"/>
  <c r="J19" i="28"/>
  <c r="J20" i="28"/>
  <c r="J21" i="28"/>
  <c r="J22" i="28"/>
  <c r="J23" i="28"/>
  <c r="J24" i="28"/>
  <c r="J25" i="28"/>
  <c r="J26" i="28"/>
  <c r="J27" i="28"/>
  <c r="J28" i="28"/>
  <c r="J29" i="28"/>
  <c r="J30" i="28"/>
  <c r="J31" i="28"/>
  <c r="J32" i="28"/>
  <c r="J33" i="28"/>
  <c r="J34" i="28"/>
  <c r="J35" i="28"/>
  <c r="J36" i="28"/>
  <c r="J37" i="28"/>
  <c r="J38" i="28"/>
  <c r="J39" i="28"/>
  <c r="J40" i="28"/>
  <c r="J41" i="28"/>
  <c r="J42" i="28"/>
  <c r="J43" i="28"/>
  <c r="J44" i="28"/>
  <c r="J45" i="28"/>
  <c r="J46" i="28"/>
  <c r="J47" i="28"/>
  <c r="J48" i="28"/>
  <c r="J49" i="28"/>
  <c r="J50" i="28"/>
  <c r="J51" i="28"/>
  <c r="J52" i="28"/>
  <c r="J53" i="28"/>
  <c r="J54" i="28"/>
  <c r="J55" i="28"/>
  <c r="J56" i="28"/>
  <c r="J57" i="28"/>
  <c r="J58" i="28"/>
  <c r="J59" i="28"/>
  <c r="J60" i="28"/>
  <c r="J61" i="28"/>
  <c r="J62" i="28"/>
  <c r="J63" i="28"/>
  <c r="J64" i="28"/>
  <c r="J65" i="28"/>
  <c r="J66" i="28"/>
  <c r="J67" i="28"/>
  <c r="J68" i="28"/>
  <c r="J69" i="28"/>
  <c r="J70" i="28"/>
  <c r="J71" i="28"/>
  <c r="J72" i="28"/>
  <c r="J73" i="28"/>
  <c r="J74" i="28"/>
  <c r="J75" i="28"/>
  <c r="J76" i="28"/>
  <c r="J77" i="28"/>
  <c r="J78" i="28"/>
  <c r="J79" i="28"/>
  <c r="J80" i="28"/>
  <c r="J81" i="28"/>
  <c r="J82" i="28"/>
  <c r="J83" i="28"/>
  <c r="J84" i="28"/>
  <c r="J85" i="28"/>
  <c r="J86" i="28"/>
  <c r="J87" i="28"/>
  <c r="J88" i="28"/>
  <c r="J89" i="28"/>
  <c r="J90" i="28"/>
  <c r="J91" i="28"/>
  <c r="J92" i="28"/>
  <c r="J93" i="28"/>
  <c r="J94" i="28"/>
  <c r="J95" i="28"/>
  <c r="J96" i="28"/>
  <c r="J97" i="28"/>
  <c r="J98" i="28"/>
  <c r="J99" i="28"/>
  <c r="J100" i="28"/>
  <c r="J101" i="28"/>
  <c r="J102" i="28"/>
  <c r="J103" i="28"/>
  <c r="J104" i="28"/>
  <c r="J105" i="28"/>
  <c r="J106" i="28"/>
  <c r="J107" i="28"/>
  <c r="J108" i="28"/>
  <c r="J2" i="28"/>
  <c r="H301" i="28"/>
  <c r="I292" i="28"/>
  <c r="H292" i="28"/>
  <c r="J110" i="28"/>
  <c r="J111" i="28"/>
  <c r="J112" i="28"/>
  <c r="J113" i="28"/>
  <c r="J114" i="28"/>
  <c r="J115" i="28"/>
  <c r="J116" i="28"/>
  <c r="J117" i="28"/>
  <c r="J118" i="28"/>
  <c r="J119" i="28"/>
  <c r="J120" i="28"/>
  <c r="J121" i="28"/>
  <c r="J122" i="28"/>
  <c r="J123" i="28"/>
  <c r="J124" i="28"/>
  <c r="J125" i="28"/>
  <c r="J126" i="28"/>
  <c r="J127" i="28"/>
  <c r="J128" i="28"/>
  <c r="J129" i="28"/>
  <c r="J130" i="28"/>
  <c r="J131" i="28"/>
  <c r="J132" i="28"/>
  <c r="J133" i="28"/>
  <c r="J134" i="28"/>
  <c r="J135" i="28"/>
  <c r="J136" i="28"/>
  <c r="J137" i="28"/>
  <c r="J138" i="28"/>
  <c r="J139" i="28"/>
  <c r="J140" i="28"/>
  <c r="J141" i="28"/>
  <c r="J142" i="28"/>
  <c r="J143" i="28"/>
  <c r="J144" i="28"/>
  <c r="J145" i="28"/>
  <c r="J146" i="28"/>
  <c r="J147" i="28"/>
  <c r="J148" i="28"/>
  <c r="J149" i="28"/>
  <c r="J150" i="28"/>
  <c r="J151" i="28"/>
  <c r="J152" i="28"/>
  <c r="J153" i="28"/>
  <c r="J154" i="28"/>
  <c r="J155" i="28"/>
  <c r="J156" i="28"/>
  <c r="J157" i="28"/>
  <c r="J158" i="28"/>
  <c r="J159" i="28"/>
  <c r="J160" i="28"/>
  <c r="J161" i="28"/>
  <c r="J162" i="28"/>
  <c r="J163" i="28"/>
  <c r="J164" i="28"/>
  <c r="J165" i="28"/>
  <c r="J166" i="28"/>
  <c r="J167" i="28"/>
  <c r="J168" i="28"/>
  <c r="J169" i="28"/>
  <c r="J170" i="28"/>
  <c r="J171" i="28"/>
  <c r="J172" i="28"/>
  <c r="J173" i="28"/>
  <c r="J174" i="28"/>
  <c r="J175" i="28"/>
  <c r="J176" i="28"/>
  <c r="J177" i="28"/>
  <c r="J178" i="28"/>
  <c r="J179" i="28"/>
  <c r="J180" i="28"/>
  <c r="J181" i="28"/>
  <c r="J182" i="28"/>
  <c r="J183" i="28"/>
  <c r="J184" i="28"/>
  <c r="J185" i="28"/>
  <c r="J186" i="28"/>
  <c r="J187" i="28"/>
  <c r="J188" i="28"/>
  <c r="J189" i="28"/>
  <c r="J190" i="28"/>
  <c r="J191" i="28"/>
  <c r="J192" i="28"/>
  <c r="J193" i="28"/>
  <c r="J194" i="28"/>
  <c r="J195" i="28"/>
  <c r="J196" i="28"/>
  <c r="J197" i="28"/>
  <c r="J198" i="28"/>
  <c r="J199" i="28"/>
  <c r="J200" i="28"/>
  <c r="J201" i="28"/>
  <c r="J202" i="28"/>
  <c r="J203" i="28"/>
  <c r="J204" i="28"/>
  <c r="J205" i="28"/>
  <c r="J206" i="28"/>
  <c r="J207" i="28"/>
  <c r="J208" i="28"/>
  <c r="J209" i="28"/>
  <c r="J210" i="28"/>
  <c r="J211" i="28"/>
  <c r="J212" i="28"/>
  <c r="J213" i="28"/>
  <c r="J214" i="28"/>
  <c r="J215" i="28"/>
  <c r="J216" i="28"/>
  <c r="J217" i="28"/>
  <c r="J218" i="28"/>
  <c r="J219" i="28"/>
  <c r="J220" i="28"/>
  <c r="J221" i="28"/>
  <c r="J222" i="28"/>
  <c r="J223" i="28"/>
  <c r="J224" i="28"/>
  <c r="J225" i="28"/>
  <c r="J226" i="28"/>
  <c r="J227" i="28"/>
  <c r="J228" i="28"/>
  <c r="J229" i="28"/>
  <c r="J230" i="28"/>
  <c r="J231" i="28"/>
  <c r="J232" i="28"/>
  <c r="J233" i="28"/>
  <c r="J234" i="28"/>
  <c r="J235" i="28"/>
  <c r="J236" i="28"/>
  <c r="J237" i="28"/>
  <c r="J238" i="28"/>
  <c r="J239" i="28"/>
  <c r="J240" i="28"/>
  <c r="J241" i="28"/>
  <c r="J242" i="28"/>
  <c r="J243" i="28"/>
  <c r="J244" i="28"/>
  <c r="J245" i="28"/>
  <c r="J246" i="28"/>
  <c r="J247" i="28"/>
  <c r="J248" i="28"/>
  <c r="J249" i="28"/>
  <c r="J250" i="28"/>
  <c r="J251" i="28"/>
  <c r="J252" i="28"/>
  <c r="J253" i="28"/>
  <c r="J254" i="28"/>
  <c r="J255" i="28"/>
  <c r="J256" i="28"/>
  <c r="J257" i="28"/>
  <c r="J258" i="28"/>
  <c r="J259" i="28"/>
  <c r="J260" i="28"/>
  <c r="J261" i="28"/>
  <c r="J262" i="28"/>
  <c r="J263" i="28"/>
  <c r="J264" i="28"/>
  <c r="J265" i="28"/>
  <c r="J266" i="28"/>
  <c r="J267" i="28"/>
  <c r="J268" i="28"/>
  <c r="J269" i="28"/>
  <c r="J270" i="28"/>
  <c r="J271" i="28"/>
  <c r="J272" i="28"/>
  <c r="J273" i="28"/>
  <c r="J274" i="28"/>
  <c r="J275" i="28"/>
  <c r="J276" i="28"/>
  <c r="J277" i="28"/>
  <c r="J109" i="28"/>
  <c r="H285" i="28"/>
  <c r="I280" i="28"/>
  <c r="H280" i="28"/>
  <c r="H193" i="28"/>
  <c r="H192" i="28"/>
  <c r="I166" i="28"/>
  <c r="H166" i="28"/>
  <c r="E27" i="32" l="1"/>
  <c r="D27" i="32"/>
  <c r="G27" i="32" s="1"/>
  <c r="F27" i="32"/>
  <c r="C27" i="32"/>
  <c r="J553" i="28"/>
  <c r="H1115" i="28" l="1"/>
</calcChain>
</file>

<file path=xl/sharedStrings.xml><?xml version="1.0" encoding="utf-8"?>
<sst xmlns="http://schemas.openxmlformats.org/spreadsheetml/2006/main" count="4404" uniqueCount="261">
  <si>
    <t>date</t>
  </si>
  <si>
    <t>savon noir</t>
  </si>
  <si>
    <t>Agent</t>
  </si>
  <si>
    <t>Hadidja</t>
  </si>
  <si>
    <t>nom de la page</t>
  </si>
  <si>
    <t>campagne</t>
  </si>
  <si>
    <t>Mustak Market</t>
  </si>
  <si>
    <t>Takwim</t>
  </si>
  <si>
    <t>Depence</t>
  </si>
  <si>
    <t>Ben Store</t>
  </si>
  <si>
    <t>prospet</t>
  </si>
  <si>
    <t>glorysmile</t>
  </si>
  <si>
    <t>Rahma</t>
  </si>
  <si>
    <t>Ben</t>
  </si>
  <si>
    <t>RMAA shop</t>
  </si>
  <si>
    <t>Richma</t>
  </si>
  <si>
    <t>Boutique de Soin</t>
  </si>
  <si>
    <t>Moulinex/marmite</t>
  </si>
  <si>
    <t>Taadhuma</t>
  </si>
  <si>
    <t>moulinex a sec/huile</t>
  </si>
  <si>
    <t>marmite/huile/prise de poids</t>
  </si>
  <si>
    <t>café/marmite</t>
  </si>
  <si>
    <t xml:space="preserve">savon soap/café </t>
  </si>
  <si>
    <t>Na</t>
  </si>
  <si>
    <t>Asna</t>
  </si>
  <si>
    <t>savon soap/casserole</t>
  </si>
  <si>
    <t>Nadjma</t>
  </si>
  <si>
    <t>moulinex a sec/casserole</t>
  </si>
  <si>
    <t>Richma Shop</t>
  </si>
  <si>
    <t>NA</t>
  </si>
  <si>
    <t>Mufti</t>
  </si>
  <si>
    <t>Café longrish</t>
  </si>
  <si>
    <t>Café/savon</t>
  </si>
  <si>
    <t>Hissanı</t>
  </si>
  <si>
    <t>HIssanı</t>
  </si>
  <si>
    <t>HIssani</t>
  </si>
  <si>
    <t>27,04,2026</t>
  </si>
  <si>
    <t>28,04,2026</t>
  </si>
  <si>
    <t>29,04,2026</t>
  </si>
  <si>
    <t>30,04,2026</t>
  </si>
  <si>
    <t>01,05,2026</t>
  </si>
  <si>
    <t xml:space="preserve"> NA</t>
  </si>
  <si>
    <t>Hissani</t>
  </si>
  <si>
    <t>Thamarati</t>
  </si>
  <si>
    <t>Natty</t>
  </si>
  <si>
    <t>Zamzam</t>
  </si>
  <si>
    <t>café/Attote</t>
  </si>
  <si>
    <t>casserole/moulinex</t>
  </si>
  <si>
    <t>savon nigelle/huile</t>
  </si>
  <si>
    <t>Moulinex/hachoir</t>
  </si>
  <si>
    <t>Moulinex/moulinex a sec</t>
  </si>
  <si>
    <t>moulinex robot</t>
  </si>
  <si>
    <t>parfum a lave/ savon nigelle</t>
  </si>
  <si>
    <t>Café longrich</t>
  </si>
  <si>
    <t>Attote</t>
  </si>
  <si>
    <t>service/parfum</t>
  </si>
  <si>
    <t>parfum</t>
  </si>
  <si>
    <t>rayna</t>
  </si>
  <si>
    <t>chiffre d affaire</t>
  </si>
  <si>
    <t>commission</t>
  </si>
  <si>
    <t>Raina</t>
  </si>
  <si>
    <t>raina</t>
  </si>
  <si>
    <t>lutfia</t>
  </si>
  <si>
    <t>fayrati</t>
  </si>
  <si>
    <t>Mariame</t>
  </si>
  <si>
    <t>savon nigelle/riz</t>
  </si>
  <si>
    <t>savon au riz/café</t>
  </si>
  <si>
    <t>TC</t>
  </si>
  <si>
    <t>hachoir/jel orange</t>
  </si>
  <si>
    <t>moulinex robot/hachoir</t>
  </si>
  <si>
    <t>creperie/hachoir</t>
  </si>
  <si>
    <t>moulinex robot/creperie</t>
  </si>
  <si>
    <t>jel orange/ moulinex robot</t>
  </si>
  <si>
    <t>Café longrich/savon au riz</t>
  </si>
  <si>
    <t>savon au riz/moulinex</t>
  </si>
  <si>
    <t>parfum/savon au riz</t>
  </si>
  <si>
    <t>Étiquettes de lignes</t>
  </si>
  <si>
    <t>Total général</t>
  </si>
  <si>
    <t>Somme de chiffre d affaire</t>
  </si>
  <si>
    <t>(Plusieurs éléments)</t>
  </si>
  <si>
    <t>lutfat</t>
  </si>
  <si>
    <t>riwad</t>
  </si>
  <si>
    <t>asna</t>
  </si>
  <si>
    <t>hamida</t>
  </si>
  <si>
    <t>nayla</t>
  </si>
  <si>
    <t>jel orange</t>
  </si>
  <si>
    <t>prise de poids/savon de riz</t>
  </si>
  <si>
    <t>attote/</t>
  </si>
  <si>
    <t>prise de poids/attote</t>
  </si>
  <si>
    <t>parfum de bouche</t>
  </si>
  <si>
    <t>glorysmile/savon au riz</t>
  </si>
  <si>
    <t>huile/glorysmile/savon au riz</t>
  </si>
  <si>
    <t>poudre de poids/savon au riz</t>
  </si>
  <si>
    <t>prise de poids /savon au riz</t>
  </si>
  <si>
    <t>jel orange/prise de poids</t>
  </si>
  <si>
    <t>savon au riz/prise de poids</t>
  </si>
  <si>
    <t>jel orange /savon orange</t>
  </si>
  <si>
    <t>balmata</t>
  </si>
  <si>
    <t>suraya</t>
  </si>
  <si>
    <t>prise de poids/the minceur</t>
  </si>
  <si>
    <t>AGENT</t>
  </si>
  <si>
    <t>DATE</t>
  </si>
  <si>
    <t>GLORYSMİLE</t>
  </si>
  <si>
    <t>SAVON AU RİZ</t>
  </si>
  <si>
    <t>PRİSE DE POİDS</t>
  </si>
  <si>
    <t>TAADHUMA</t>
  </si>
  <si>
    <t>GEL ORANGE</t>
  </si>
  <si>
    <t>FAİLOİTİ</t>
  </si>
  <si>
    <t>Colonne1</t>
  </si>
  <si>
    <t>coach</t>
  </si>
  <si>
    <t>moto</t>
  </si>
  <si>
    <t>malika</t>
  </si>
  <si>
    <t>rabianti</t>
  </si>
  <si>
    <t>rabinati</t>
  </si>
  <si>
    <t>NUMERO</t>
  </si>
  <si>
    <t>malkia</t>
  </si>
  <si>
    <t>PRODUİT 1</t>
  </si>
  <si>
    <t>PRODUİT 2</t>
  </si>
  <si>
    <t>ASSOCİE</t>
  </si>
  <si>
    <t>prise de poids</t>
  </si>
  <si>
    <t>PARFUM DE BOUCHE</t>
  </si>
  <si>
    <t>savon au riz</t>
  </si>
  <si>
    <t>poudre de poids</t>
  </si>
  <si>
    <t>prise de poids /</t>
  </si>
  <si>
    <t>jel orange/</t>
  </si>
  <si>
    <t>savon au riz/</t>
  </si>
  <si>
    <t>jel orange /</t>
  </si>
  <si>
    <t>JEL ORANGE</t>
  </si>
  <si>
    <t>GLORYSMİLE-THAMARATİ</t>
  </si>
  <si>
    <t>JEL ORANGE-TAADHUMA</t>
  </si>
  <si>
    <t>JEL ORANGE-LOUTFAT</t>
  </si>
  <si>
    <t>THE MİNCEUR</t>
  </si>
  <si>
    <t>SAVON AU RİZ-BEN</t>
  </si>
  <si>
    <t>SAVON AU RİZ-HADİDJA</t>
  </si>
  <si>
    <t>PRİSE DE POİDS-BEN</t>
  </si>
  <si>
    <t>JEL ORANGE-MARİAME</t>
  </si>
  <si>
    <t>GLORYSMİLE-ASNA</t>
  </si>
  <si>
    <t>SAVON AU RİZ -BALMATA</t>
  </si>
  <si>
    <t>glorysmile/gel orange</t>
  </si>
  <si>
    <t>Somme de Depence</t>
  </si>
  <si>
    <t>Somme de prospet</t>
  </si>
  <si>
    <t>JEL ORANGE -RABİANTİ</t>
  </si>
  <si>
    <t>savon AU RİZ</t>
  </si>
  <si>
    <t>GLORYSMİLE-SURAYA</t>
  </si>
  <si>
    <t>SAVON-RİWAD</t>
  </si>
  <si>
    <t>TABLEAU D ANALYSE</t>
  </si>
  <si>
    <t xml:space="preserve">     </t>
  </si>
  <si>
    <t>AYLAN SHOP</t>
  </si>
  <si>
    <t>AYLAN MARKET</t>
  </si>
  <si>
    <t>AYLAN TREND</t>
  </si>
  <si>
    <t>X</t>
  </si>
  <si>
    <t>TOLAL DEPENCE</t>
  </si>
  <si>
    <t>NADJMA</t>
  </si>
  <si>
    <t>Ventes</t>
  </si>
  <si>
    <t>faidhoiti</t>
  </si>
  <si>
    <t>loutfat</t>
  </si>
  <si>
    <t xml:space="preserve"> TAUX DE COMVERSİON</t>
  </si>
  <si>
    <t>djabiri</t>
  </si>
  <si>
    <t>31.06.2026</t>
  </si>
  <si>
    <t>NOM</t>
  </si>
  <si>
    <t>ASSOCİES</t>
  </si>
  <si>
    <t>BEN</t>
  </si>
  <si>
    <t>LOUTFİA</t>
  </si>
  <si>
    <t>LOUTFAT</t>
  </si>
  <si>
    <t>NAYLA</t>
  </si>
  <si>
    <t>MUFTİ</t>
  </si>
  <si>
    <t>RİWAD</t>
  </si>
  <si>
    <t>THAMARATİ</t>
  </si>
  <si>
    <t>PRODUİTS</t>
  </si>
  <si>
    <t>CAFÉ</t>
  </si>
  <si>
    <t>DENTİFRİCE</t>
  </si>
  <si>
    <t>MOİS</t>
  </si>
  <si>
    <t>POSPECTS</t>
  </si>
  <si>
    <t>DEPENSES</t>
  </si>
  <si>
    <t>VENTES</t>
  </si>
  <si>
    <t>COMİSSİONS</t>
  </si>
  <si>
    <t>CHİFFRE D AFFAİRES</t>
  </si>
  <si>
    <t>MAİ</t>
  </si>
  <si>
    <t>JUİN</t>
  </si>
  <si>
    <t>M</t>
  </si>
  <si>
    <t xml:space="preserve"> </t>
  </si>
  <si>
    <t>SURAYA</t>
  </si>
  <si>
    <t>TAKWİM</t>
  </si>
  <si>
    <t>HADİDJA</t>
  </si>
  <si>
    <t>BOUSRİ</t>
  </si>
  <si>
    <t>RAMATOULLAH</t>
  </si>
  <si>
    <t>DALİLOU</t>
  </si>
  <si>
    <t>MARİAME</t>
  </si>
  <si>
    <t>SNAKE OİL</t>
  </si>
  <si>
    <t>KALATHOUME</t>
  </si>
  <si>
    <t>HAND CREAM</t>
  </si>
  <si>
    <t>CAFÉ LONGRİCH</t>
  </si>
  <si>
    <t>SAKE OİL</t>
  </si>
  <si>
    <t>HAND CRAM</t>
  </si>
  <si>
    <t>P DENTİFRİCE</t>
  </si>
  <si>
    <t>SAVON</t>
  </si>
  <si>
    <t>CALİCUİM</t>
  </si>
  <si>
    <t>VİTAMİN C</t>
  </si>
  <si>
    <t>COLLAGENE</t>
  </si>
  <si>
    <t>LAİT</t>
  </si>
  <si>
    <t>SNAKE OİL/CHAMPOİN</t>
  </si>
  <si>
    <t>10000FC</t>
  </si>
  <si>
    <t>8000/10000</t>
  </si>
  <si>
    <t xml:space="preserve">  </t>
  </si>
  <si>
    <t>kalathoume</t>
  </si>
  <si>
    <t>kalathome</t>
  </si>
  <si>
    <t>RACHİDA</t>
  </si>
  <si>
    <t>Loutfat</t>
  </si>
  <si>
    <t>the vert</t>
  </si>
  <si>
    <t>loutfia</t>
  </si>
  <si>
    <t>vitamine c</t>
  </si>
  <si>
    <t>beny</t>
  </si>
  <si>
    <t>gel orange</t>
  </si>
  <si>
    <t>Thadhuma</t>
  </si>
  <si>
    <t>Creme sod</t>
  </si>
  <si>
    <t>hend creme</t>
  </si>
  <si>
    <t>prebiotique</t>
  </si>
  <si>
    <t>Hdidja</t>
  </si>
  <si>
    <t>Creme rejenissant</t>
  </si>
  <si>
    <t>Kalathoumi</t>
  </si>
  <si>
    <t xml:space="preserve"> Masque collagen</t>
  </si>
  <si>
    <t>vitamin c</t>
  </si>
  <si>
    <t xml:space="preserve">dentifrice </t>
  </si>
  <si>
    <t>Loutfia</t>
  </si>
  <si>
    <t>Mariam</t>
  </si>
  <si>
    <t xml:space="preserve">huil de serpent </t>
  </si>
  <si>
    <t>Faydhoiti</t>
  </si>
  <si>
    <t>hand creme</t>
  </si>
  <si>
    <t>Gel orange</t>
  </si>
  <si>
    <t>Beny</t>
  </si>
  <si>
    <t>Libao</t>
  </si>
  <si>
    <t>Vitaminc</t>
  </si>
  <si>
    <t>Thamaratie</t>
  </si>
  <si>
    <t>huil de serpent et champooin</t>
  </si>
  <si>
    <t>the minceur</t>
  </si>
  <si>
    <t>NOME VEDEURES</t>
  </si>
  <si>
    <t>PRODUIT</t>
  </si>
  <si>
    <t>QT</t>
  </si>
  <si>
    <t>PRIX</t>
  </si>
  <si>
    <t>MONTANT</t>
  </si>
  <si>
    <t>MVOLA</t>
  </si>
  <si>
    <t>PRIX COM</t>
  </si>
  <si>
    <t>Somme de MONTANT</t>
  </si>
  <si>
    <t>Somme de QT</t>
  </si>
  <si>
    <t>MONTANT COMMİSSİON</t>
  </si>
  <si>
    <t>Somme de MONTANT COMMİSSİON</t>
  </si>
  <si>
    <t>takwim</t>
  </si>
  <si>
    <t>HOMME</t>
  </si>
  <si>
    <t>18-30</t>
  </si>
  <si>
    <t>FEMME</t>
  </si>
  <si>
    <t>30-45</t>
  </si>
  <si>
    <t>GAMME HUİLE</t>
  </si>
  <si>
    <t>HUİLE GAMME</t>
  </si>
  <si>
    <t>amine</t>
  </si>
  <si>
    <t>rahmatoullah</t>
  </si>
  <si>
    <t>laila</t>
  </si>
  <si>
    <t>TEAMS</t>
  </si>
  <si>
    <t>COMMUNES</t>
  </si>
  <si>
    <t>MOUFTİ</t>
  </si>
  <si>
    <t>rachida</t>
  </si>
  <si>
    <t>Somme de Ventes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</si>
</sst>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₺&quot;* #,##0.00_-;\-&quot;₺&quot;* #,##0.00_-;_-&quot;₺&quot;* &quot;-&quot;??_-;_-@_-"/>
    <numFmt numFmtId="164" formatCode="_-[$$-409]* #,##0.00_ ;_-[$$-409]* \-#,##0.00\ ;_-[$$-409]* &quot;-&quot;??_ ;_-@_ "/>
  </numFmts>
  <fonts count="10" x14ac:knownFonts="1">
    <font>
      <sz val="11"/>
      <color theme="1"/>
      <name val="Aptos Narrow"/>
      <family val="2"/>
      <charset val="162"/>
      <scheme val="minor"/>
    </font>
    <font>
      <b/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color theme="1"/>
      <name val="Aptos Narrow"/>
      <family val="2"/>
      <charset val="162"/>
      <scheme val="minor"/>
    </font>
    <font>
      <b/>
      <sz val="26"/>
      <color theme="0"/>
      <name val="Aptos Narrow"/>
      <family val="2"/>
      <scheme val="minor"/>
    </font>
    <font>
      <sz val="18"/>
      <color theme="1"/>
      <name val="Aptos Narrow"/>
      <family val="2"/>
      <charset val="162"/>
      <scheme val="minor"/>
    </font>
    <font>
      <b/>
      <sz val="12"/>
      <color theme="1"/>
      <name val="Aptos Narrow"/>
      <family val="2"/>
      <scheme val="minor"/>
    </font>
    <font>
      <b/>
      <sz val="22"/>
      <name val="Aptos Narrow"/>
      <family val="2"/>
      <scheme val="minor"/>
    </font>
    <font>
      <sz val="11"/>
      <name val="Aptos Narrow"/>
      <family val="2"/>
      <charset val="16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C0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59999389629810485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 style="thin">
        <color theme="4" tint="0.39997558519241921"/>
      </left>
      <right/>
      <top/>
      <bottom style="thin">
        <color theme="4" tint="0.39997558519241921"/>
      </bottom>
      <diagonal/>
    </border>
    <border>
      <left/>
      <right style="thin">
        <color theme="4" tint="0.39997558519241921"/>
      </right>
      <top/>
      <bottom style="thin">
        <color theme="4" tint="0.39997558519241921"/>
      </bottom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 tint="0.39997558519241921"/>
      </bottom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/>
      </left>
      <right/>
      <top/>
      <bottom/>
      <diagonal/>
    </border>
    <border>
      <left style="thin">
        <color theme="4"/>
      </left>
      <right style="thin">
        <color theme="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</borders>
  <cellStyleXfs count="3">
    <xf numFmtId="0" fontId="0" fillId="0" borderId="0"/>
    <xf numFmtId="9" fontId="4" fillId="0" borderId="0" applyFont="0" applyFill="0" applyBorder="0" applyAlignment="0" applyProtection="0"/>
    <xf numFmtId="44" fontId="4" fillId="0" borderId="0" applyFont="0" applyFill="0" applyBorder="0" applyAlignment="0" applyProtection="0"/>
  </cellStyleXfs>
  <cellXfs count="42">
    <xf numFmtId="0" fontId="0" fillId="0" borderId="0" xfId="0"/>
    <xf numFmtId="14" fontId="0" fillId="0" borderId="0" xfId="0" applyNumberFormat="1"/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4" fontId="3" fillId="3" borderId="2" xfId="0" applyNumberFormat="1" applyFont="1" applyFill="1" applyBorder="1" applyAlignment="1">
      <alignment horizontal="center"/>
    </xf>
    <xf numFmtId="0" fontId="3" fillId="2" borderId="1" xfId="0" applyFont="1" applyFill="1" applyBorder="1"/>
    <xf numFmtId="9" fontId="3" fillId="2" borderId="3" xfId="1" applyFont="1" applyFill="1" applyBorder="1"/>
    <xf numFmtId="9" fontId="0" fillId="0" borderId="0" xfId="1" applyFont="1"/>
    <xf numFmtId="164" fontId="3" fillId="2" borderId="1" xfId="2" applyNumberFormat="1" applyFont="1" applyFill="1" applyBorder="1"/>
    <xf numFmtId="0" fontId="0" fillId="0" borderId="5" xfId="0" applyBorder="1"/>
    <xf numFmtId="0" fontId="0" fillId="5" borderId="5" xfId="0" applyFill="1" applyBorder="1"/>
    <xf numFmtId="0" fontId="0" fillId="6" borderId="0" xfId="0" applyFill="1"/>
    <xf numFmtId="0" fontId="0" fillId="0" borderId="4" xfId="0" applyBorder="1"/>
    <xf numFmtId="0" fontId="0" fillId="6" borderId="0" xfId="0" applyFill="1" applyAlignment="1">
      <alignment horizontal="center"/>
    </xf>
    <xf numFmtId="0" fontId="0" fillId="5" borderId="6" xfId="0" applyFill="1" applyBorder="1"/>
    <xf numFmtId="0" fontId="0" fillId="5" borderId="0" xfId="0" applyFill="1"/>
    <xf numFmtId="0" fontId="0" fillId="0" borderId="0" xfId="0" applyAlignment="1">
      <alignment horizontal="center"/>
    </xf>
    <xf numFmtId="0" fontId="0" fillId="8" borderId="0" xfId="0" applyFill="1"/>
    <xf numFmtId="0" fontId="0" fillId="5" borderId="6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7" xfId="0" applyFill="1" applyBorder="1"/>
    <xf numFmtId="9" fontId="0" fillId="0" borderId="0" xfId="0" applyNumberFormat="1"/>
    <xf numFmtId="15" fontId="0" fillId="0" borderId="0" xfId="0" applyNumberFormat="1"/>
    <xf numFmtId="0" fontId="2" fillId="10" borderId="0" xfId="0" applyFont="1" applyFill="1"/>
    <xf numFmtId="2" fontId="0" fillId="0" borderId="0" xfId="0" applyNumberFormat="1"/>
    <xf numFmtId="0" fontId="1" fillId="6" borderId="0" xfId="0" applyFont="1" applyFill="1"/>
    <xf numFmtId="0" fontId="7" fillId="6" borderId="0" xfId="0" applyFont="1" applyFill="1"/>
    <xf numFmtId="0" fontId="1" fillId="4" borderId="0" xfId="0" applyFont="1" applyFill="1"/>
    <xf numFmtId="0" fontId="0" fillId="0" borderId="7" xfId="0" applyBorder="1"/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11" borderId="10" xfId="0" applyFill="1" applyBorder="1" applyAlignment="1">
      <alignment horizontal="center" vertical="center"/>
    </xf>
    <xf numFmtId="3" fontId="0" fillId="11" borderId="10" xfId="0" applyNumberFormat="1" applyFill="1" applyBorder="1" applyAlignment="1">
      <alignment horizontal="center" vertical="center"/>
    </xf>
    <xf numFmtId="3" fontId="0" fillId="11" borderId="11" xfId="0" applyNumberFormat="1" applyFill="1" applyBorder="1" applyAlignment="1">
      <alignment horizontal="center" vertical="center"/>
    </xf>
    <xf numFmtId="0" fontId="0" fillId="0" borderId="6" xfId="0" applyBorder="1"/>
    <xf numFmtId="0" fontId="0" fillId="0" borderId="6" xfId="0" applyBorder="1" applyAlignment="1">
      <alignment horizontal="center"/>
    </xf>
    <xf numFmtId="0" fontId="9" fillId="5" borderId="5" xfId="0" applyFont="1" applyFill="1" applyBorder="1"/>
    <xf numFmtId="0" fontId="8" fillId="10" borderId="0" xfId="0" applyFont="1" applyFill="1" applyAlignment="1">
      <alignment horizontal="center"/>
    </xf>
    <xf numFmtId="0" fontId="5" fillId="7" borderId="0" xfId="0" applyFont="1" applyFill="1" applyAlignment="1">
      <alignment horizontal="center" vertical="center"/>
    </xf>
    <xf numFmtId="0" fontId="6" fillId="9" borderId="0" xfId="0" applyFont="1" applyFill="1" applyAlignment="1">
      <alignment horizontal="center"/>
    </xf>
    <xf numFmtId="0" fontId="0" fillId="0" borderId="0" xfId="0" applyNumberFormat="1"/>
  </cellXfs>
  <cellStyles count="3">
    <cellStyle name="Monétaire" xfId="2" builtinId="4"/>
    <cellStyle name="Normal" xfId="0" builtinId="0"/>
    <cellStyle name="Pourcentage" xfId="1" builtinId="5"/>
  </cellStyles>
  <dxfs count="30">
    <dxf>
      <numFmt numFmtId="169" formatCode="0.00000"/>
    </dxf>
    <dxf>
      <numFmt numFmtId="13" formatCode="0%"/>
    </dxf>
    <dxf>
      <numFmt numFmtId="168" formatCode="0.000000"/>
    </dxf>
    <dxf>
      <numFmt numFmtId="167" formatCode="0.0000000"/>
    </dxf>
    <dxf>
      <numFmt numFmtId="166" formatCode="0.00000000"/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9" formatCode="d/mm/yyyy"/>
    </dxf>
    <dxf>
      <border outline="0">
        <right style="thin">
          <color auto="1"/>
        </right>
        <top style="thin">
          <color auto="1"/>
        </top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numFmt numFmtId="3" formatCode="#,##0"/>
      <fill>
        <patternFill patternType="solid">
          <fgColor indexed="64"/>
          <bgColor theme="4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2" formatCode="0.00"/>
    </dxf>
    <dxf>
      <numFmt numFmtId="165" formatCode="0.0"/>
    </dxf>
    <dxf>
      <numFmt numFmtId="13" formatCode="0%"/>
    </dxf>
    <dxf>
      <numFmt numFmtId="13" formatCode="0%"/>
    </dxf>
    <dxf>
      <numFmt numFmtId="13" formatCode="0%"/>
    </dxf>
    <dxf>
      <numFmt numFmtId="0" formatCode="General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9" formatCode="d/mm/yyyy"/>
    </dxf>
    <dxf>
      <border outline="0">
        <top style="thin">
          <color theme="4" tint="0.39997558519241921"/>
        </top>
        <bottom style="thin">
          <color theme="4" tint="0.39997558519241921"/>
        </bottom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indexed="64"/>
          <bgColor rgb="FFFFFF00"/>
        </patternFill>
      </fill>
    </dxf>
  </dxfs>
  <tableStyles count="0" defaultTableStyle="TableStyleMedium2" defaultPivotStyle="PivotStyleLight16"/>
  <colors>
    <mruColors>
      <color rgb="FF10256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07/relationships/slicerCache" Target="slicerCaches/slicerCache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07/relationships/slicerCache" Target="slicerCaches/slicerCache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eg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0" baseline="0">
                <a:ln>
                  <a:solidFill>
                    <a:schemeClr val="accent1"/>
                  </a:solidFill>
                </a:ln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>
                <a:ln w="0">
                  <a:solidFill>
                    <a:schemeClr val="accent1"/>
                  </a:solidFill>
                </a:ln>
              </a:rPr>
              <a:t>LES</a:t>
            </a:r>
            <a:r>
              <a:rPr lang="en-US" baseline="0">
                <a:ln w="0">
                  <a:solidFill>
                    <a:schemeClr val="accent1"/>
                  </a:solidFill>
                </a:ln>
              </a:rPr>
              <a:t> DEPENCES DE CAMPAGNES</a:t>
            </a:r>
            <a:endParaRPr lang="en-US">
              <a:ln w="0">
                <a:solidFill>
                  <a:schemeClr val="accent1"/>
                </a:solidFill>
              </a:ln>
            </a:endParaRPr>
          </a:p>
        </c:rich>
      </c:tx>
      <c:layout>
        <c:manualLayout>
          <c:xMode val="edge"/>
          <c:yMode val="edge"/>
          <c:x val="0.30482628144244617"/>
          <c:y val="5.3514144065325175E-2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0" baseline="0">
              <a:ln>
                <a:solidFill>
                  <a:schemeClr val="accent1"/>
                </a:solidFill>
              </a:ln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none" spc="0" baseline="0">
                  <a:ln w="0"/>
                  <a:solidFill>
                    <a:schemeClr val="tx1"/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cap="none" spc="0" baseline="0">
                  <a:ln w="0"/>
                  <a:solidFill>
                    <a:schemeClr val="tx1"/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cap="none" spc="0" baseline="0">
                  <a:ln w="0"/>
                  <a:solidFill>
                    <a:schemeClr val="tx1"/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18"/>
              <c:pt idx="0">
                <c:v>balmata</c:v>
              </c:pt>
              <c:pt idx="1">
                <c:v>Ben</c:v>
              </c:pt>
              <c:pt idx="2">
                <c:v>coach</c:v>
              </c:pt>
              <c:pt idx="3">
                <c:v>faidhoiti</c:v>
              </c:pt>
              <c:pt idx="4">
                <c:v>Hadidja</c:v>
              </c:pt>
              <c:pt idx="5">
                <c:v>hamida</c:v>
              </c:pt>
              <c:pt idx="6">
                <c:v>loutfat</c:v>
              </c:pt>
              <c:pt idx="7">
                <c:v>lutfia</c:v>
              </c:pt>
              <c:pt idx="8">
                <c:v>malkia</c:v>
              </c:pt>
              <c:pt idx="9">
                <c:v>Mariame</c:v>
              </c:pt>
              <c:pt idx="10">
                <c:v>Mufti</c:v>
              </c:pt>
              <c:pt idx="11">
                <c:v>nayla</c:v>
              </c:pt>
              <c:pt idx="12">
                <c:v>rabinati</c:v>
              </c:pt>
              <c:pt idx="13">
                <c:v>raina</c:v>
              </c:pt>
              <c:pt idx="14">
                <c:v>riwad</c:v>
              </c:pt>
              <c:pt idx="15">
                <c:v>suraya</c:v>
              </c:pt>
              <c:pt idx="16">
                <c:v>Taadhuma</c:v>
              </c:pt>
              <c:pt idx="17">
                <c:v>Thamarati</c:v>
              </c:pt>
            </c:strLit>
          </c:cat>
          <c:val>
            <c:numLit>
              <c:formatCode>General</c:formatCode>
              <c:ptCount val="18"/>
              <c:pt idx="0">
                <c:v>6.2404287901990811E-2</c:v>
              </c:pt>
              <c:pt idx="1">
                <c:v>6.5084226646248099E-3</c:v>
              </c:pt>
              <c:pt idx="2">
                <c:v>7.0444104134762639E-2</c:v>
              </c:pt>
              <c:pt idx="3">
                <c:v>6.0872894333843804E-2</c:v>
              </c:pt>
              <c:pt idx="4">
                <c:v>8.4609494640122518E-2</c:v>
              </c:pt>
              <c:pt idx="5">
                <c:v>5.1301684532924968E-2</c:v>
              </c:pt>
              <c:pt idx="6">
                <c:v>6.3935681470137826E-2</c:v>
              </c:pt>
              <c:pt idx="7">
                <c:v>7.2741194486983157E-2</c:v>
              </c:pt>
              <c:pt idx="8">
                <c:v>7.5421133231240431E-2</c:v>
              </c:pt>
              <c:pt idx="9">
                <c:v>0</c:v>
              </c:pt>
              <c:pt idx="10">
                <c:v>6.1638591117917314E-2</c:v>
              </c:pt>
              <c:pt idx="11">
                <c:v>6.4318529862174581E-2</c:v>
              </c:pt>
              <c:pt idx="12">
                <c:v>8.2695252679938755E-2</c:v>
              </c:pt>
              <c:pt idx="13">
                <c:v>8.0781010719754978E-2</c:v>
              </c:pt>
              <c:pt idx="14">
                <c:v>3.1776416539050535E-2</c:v>
              </c:pt>
              <c:pt idx="15">
                <c:v>7.120980091883615E-2</c:v>
              </c:pt>
              <c:pt idx="16">
                <c:v>5.9341500765696789E-2</c:v>
              </c:pt>
              <c:pt idx="17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28BB-41EA-8398-EE7D26F568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13698591"/>
        <c:axId val="1113704831"/>
      </c:barChart>
      <c:catAx>
        <c:axId val="11136985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3704831"/>
        <c:crosses val="autoZero"/>
        <c:auto val="1"/>
        <c:lblAlgn val="ctr"/>
        <c:lblOffset val="100"/>
        <c:noMultiLvlLbl val="0"/>
      </c:catAx>
      <c:valAx>
        <c:axId val="111370483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36985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blipFill>
      <a:blip xmlns:r="http://schemas.openxmlformats.org/officeDocument/2006/relationships" r:embed="rId3"/>
      <a:tile tx="0" ty="0" sx="100000" sy="100000" flip="none" algn="tl"/>
    </a:blipFill>
    <a:ln w="19050" cap="flat" cmpd="sng" algn="ctr">
      <a:solidFill>
        <a:schemeClr val="accent2"/>
      </a:solidFill>
      <a:prstDash val="solid"/>
      <a:miter lim="800000"/>
    </a:ln>
    <a:effectLst>
      <a:outerShdw blurRad="50800" dist="50800" dir="5400000" algn="ctr" rotWithShape="0">
        <a:srgbClr val="000000">
          <a:alpha val="65000"/>
        </a:srgbClr>
      </a:outerShdw>
      <a:softEdge rad="38100"/>
    </a:effectLst>
  </c:spPr>
  <c:txPr>
    <a:bodyPr/>
    <a:lstStyle/>
    <a:p>
      <a:pPr>
        <a:defRPr b="0" cap="none" spc="0">
          <a:ln w="0"/>
          <a:solidFill>
            <a:schemeClr val="tx1"/>
          </a:solidFill>
          <a:effectLst>
            <a:outerShdw blurRad="38100" dist="19050" dir="2700000" algn="tl" rotWithShape="0">
              <a:schemeClr val="dk1">
                <a:alpha val="40000"/>
              </a:schemeClr>
            </a:outerShdw>
          </a:effectLst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ln>
                  <a:solidFill>
                    <a:schemeClr val="tx2"/>
                  </a:solidFill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COMİSSİON PAR AGENT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ln>
                <a:solidFill>
                  <a:schemeClr val="tx2"/>
                </a:solidFill>
              </a:ln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0070C0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ln>
                    <a:solidFill>
                      <a:schemeClr val="tx2"/>
                    </a:solidFill>
                  </a:ln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0070C0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ln>
                    <a:solidFill>
                      <a:schemeClr val="tx2"/>
                    </a:solidFill>
                  </a:ln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0070C0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ln>
                    <a:solidFill>
                      <a:schemeClr val="tx2"/>
                    </a:solidFill>
                  </a:ln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rgbClr val="0070C0"/>
            </a:solidFill>
            <a:ln>
              <a:noFill/>
            </a:ln>
            <a:effectLst/>
            <a:sp3d/>
          </c:spPr>
          <c:invertIfNegative val="0"/>
          <c:cat>
            <c:strLit>
              <c:ptCount val="14"/>
              <c:pt idx="0">
                <c:v>balmata</c:v>
              </c:pt>
              <c:pt idx="1">
                <c:v>Ben</c:v>
              </c:pt>
              <c:pt idx="2">
                <c:v>Hadidja</c:v>
              </c:pt>
              <c:pt idx="3">
                <c:v>hamida</c:v>
              </c:pt>
              <c:pt idx="4">
                <c:v>lutfia</c:v>
              </c:pt>
              <c:pt idx="5">
                <c:v>Mariame</c:v>
              </c:pt>
              <c:pt idx="6">
                <c:v>Mufti</c:v>
              </c:pt>
              <c:pt idx="7">
                <c:v>nayla</c:v>
              </c:pt>
              <c:pt idx="8">
                <c:v>rabinati</c:v>
              </c:pt>
              <c:pt idx="9">
                <c:v>raina</c:v>
              </c:pt>
              <c:pt idx="10">
                <c:v>riwad</c:v>
              </c:pt>
              <c:pt idx="11">
                <c:v>suraya</c:v>
              </c:pt>
              <c:pt idx="12">
                <c:v>Taadhuma</c:v>
              </c:pt>
              <c:pt idx="13">
                <c:v>Thamarati</c:v>
              </c:pt>
            </c:strLit>
          </c:cat>
          <c:val>
            <c:numLit>
              <c:formatCode>General</c:formatCode>
              <c:ptCount val="14"/>
              <c:pt idx="0">
                <c:v>5000</c:v>
              </c:pt>
              <c:pt idx="1">
                <c:v>7000</c:v>
              </c:pt>
              <c:pt idx="2">
                <c:v>1000</c:v>
              </c:pt>
              <c:pt idx="3">
                <c:v>1000</c:v>
              </c:pt>
              <c:pt idx="4">
                <c:v>0</c:v>
              </c:pt>
              <c:pt idx="5">
                <c:v>0</c:v>
              </c:pt>
              <c:pt idx="6">
                <c:v>7500</c:v>
              </c:pt>
              <c:pt idx="7">
                <c:v>4000</c:v>
              </c:pt>
              <c:pt idx="8">
                <c:v>4000</c:v>
              </c:pt>
              <c:pt idx="9">
                <c:v>0</c:v>
              </c:pt>
              <c:pt idx="10">
                <c:v>4000</c:v>
              </c:pt>
              <c:pt idx="11">
                <c:v>0</c:v>
              </c:pt>
              <c:pt idx="12">
                <c:v>1000</c:v>
              </c:pt>
              <c:pt idx="13">
                <c:v>1000</c:v>
              </c:pt>
            </c:numLit>
          </c:val>
          <c:extLst>
            <c:ext xmlns:c16="http://schemas.microsoft.com/office/drawing/2014/chart" uri="{C3380CC4-5D6E-409C-BE32-E72D297353CC}">
              <c16:uniqueId val="{00000000-B4A9-4AE8-B9B9-2B05A51FE0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8"/>
        <c:gapDepth val="106"/>
        <c:shape val="box"/>
        <c:axId val="1113732191"/>
        <c:axId val="1113736511"/>
        <c:axId val="0"/>
      </c:bar3DChart>
      <c:catAx>
        <c:axId val="1113732191"/>
        <c:scaling>
          <c:orientation val="minMax"/>
        </c:scaling>
        <c:delete val="0"/>
        <c:axPos val="b"/>
        <c:numFmt formatCode="#,##0.00" sourceLinked="0"/>
        <c:majorTickMark val="none"/>
        <c:minorTickMark val="out"/>
        <c:tickLblPos val="low"/>
        <c:spPr>
          <a:noFill/>
          <a:ln>
            <a:solidFill>
              <a:schemeClr val="accent2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solidFill>
                    <a:schemeClr val="tx2"/>
                  </a:solidFill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3736511"/>
        <c:crosses val="autoZero"/>
        <c:auto val="1"/>
        <c:lblAlgn val="ctr"/>
        <c:lblOffset val="100"/>
        <c:noMultiLvlLbl val="0"/>
      </c:catAx>
      <c:valAx>
        <c:axId val="111373651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solidFill>
                    <a:schemeClr val="tx2"/>
                  </a:solidFill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37321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>
      <a:gsLst>
        <a:gs pos="21000">
          <a:srgbClr val="FFFF00">
            <a:lumMod val="94000"/>
            <a:alpha val="95000"/>
          </a:srgbClr>
        </a:gs>
        <a:gs pos="87000">
          <a:schemeClr val="accent1">
            <a:lumMod val="30000"/>
            <a:lumOff val="70000"/>
          </a:schemeClr>
        </a:gs>
      </a:gsLst>
      <a:lin ang="5400000" scaled="1"/>
    </a:gradFill>
    <a:ln w="9525" cap="flat" cmpd="sng" algn="ctr">
      <a:gradFill>
        <a:gsLst>
          <a:gs pos="0">
            <a:schemeClr val="accent1">
              <a:lumMod val="5000"/>
              <a:lumOff val="95000"/>
            </a:schemeClr>
          </a:gs>
          <a:gs pos="74000">
            <a:schemeClr val="accent1">
              <a:lumMod val="45000"/>
              <a:lumOff val="55000"/>
            </a:schemeClr>
          </a:gs>
          <a:gs pos="83000">
            <a:schemeClr val="accent1">
              <a:lumMod val="45000"/>
              <a:lumOff val="55000"/>
            </a:schemeClr>
          </a:gs>
          <a:gs pos="100000">
            <a:schemeClr val="accent1">
              <a:lumMod val="30000"/>
              <a:lumOff val="70000"/>
            </a:schemeClr>
          </a:gs>
        </a:gsLst>
        <a:lin ang="5400000" scaled="1"/>
      </a:gradFill>
      <a:round/>
    </a:ln>
    <a:effectLst/>
  </c:spPr>
  <c:txPr>
    <a:bodyPr/>
    <a:lstStyle/>
    <a:p>
      <a:pPr>
        <a:defRPr>
          <a:ln>
            <a:solidFill>
              <a:schemeClr val="tx2"/>
            </a:solidFill>
          </a:ln>
        </a:defRPr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ln>
                  <a:solidFill>
                    <a:schemeClr val="accent1"/>
                  </a:solidFill>
                </a:ln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ln>
                  <a:solidFill>
                    <a:schemeClr val="accent1"/>
                  </a:solidFill>
                </a:ln>
                <a:solidFill>
                  <a:schemeClr val="dk1"/>
                </a:solidFill>
                <a:latin typeface="+mn-lt"/>
                <a:ea typeface="+mn-ea"/>
                <a:cs typeface="+mn-cs"/>
              </a:rPr>
              <a:t>PROSPETS</a:t>
            </a:r>
            <a:r>
              <a:rPr lang="en-US" baseline="0">
                <a:ln>
                  <a:solidFill>
                    <a:schemeClr val="accent1"/>
                  </a:solidFill>
                </a:ln>
                <a:solidFill>
                  <a:schemeClr val="dk1"/>
                </a:solidFill>
                <a:latin typeface="+mn-lt"/>
                <a:ea typeface="+mn-ea"/>
                <a:cs typeface="+mn-cs"/>
              </a:rPr>
              <a:t> REÇU</a:t>
            </a:r>
            <a:endParaRPr lang="en-US">
              <a:ln>
                <a:solidFill>
                  <a:schemeClr val="accent1"/>
                </a:solidFill>
              </a:ln>
            </a:endParaRPr>
          </a:p>
        </c:rich>
      </c:tx>
      <c:overlay val="0"/>
      <c:spPr>
        <a:gradFill>
          <a:gsLst>
            <a:gs pos="22000">
              <a:schemeClr val="tx2">
                <a:lumMod val="25000"/>
                <a:lumOff val="75000"/>
              </a:schemeClr>
            </a:gs>
            <a:gs pos="100000">
              <a:schemeClr val="accent1">
                <a:lumMod val="30000"/>
                <a:lumOff val="70000"/>
              </a:schemeClr>
            </a:gs>
          </a:gsLst>
          <a:path path="circle">
            <a:fillToRect l="100000" t="100000"/>
          </a:path>
        </a:gradFill>
        <a:ln w="19050" cap="flat" cmpd="sng" algn="ctr">
          <a:solidFill>
            <a:schemeClr val="accent1"/>
          </a:solidFill>
          <a:prstDash val="solid"/>
          <a:miter lim="800000"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ln>
                <a:solidFill>
                  <a:schemeClr val="accent1"/>
                </a:solidFill>
              </a:ln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1506793694987023"/>
          <c:y val="0.17171296296296298"/>
          <c:w val="0.71395233054431728"/>
          <c:h val="0.59658136482939628"/>
        </c:manualLayout>
      </c:layout>
      <c:lineChart>
        <c:grouping val="standard"/>
        <c:varyColors val="0"/>
        <c:ser>
          <c:idx val="0"/>
          <c:order val="0"/>
          <c:tx>
            <c:v>Total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8"/>
              <c:pt idx="0">
                <c:v>balmata</c:v>
              </c:pt>
              <c:pt idx="1">
                <c:v>Ben</c:v>
              </c:pt>
              <c:pt idx="2">
                <c:v>coach</c:v>
              </c:pt>
              <c:pt idx="3">
                <c:v>faidhoiti</c:v>
              </c:pt>
              <c:pt idx="4">
                <c:v>Hadidja</c:v>
              </c:pt>
              <c:pt idx="5">
                <c:v>hamida</c:v>
              </c:pt>
              <c:pt idx="6">
                <c:v>loutfat</c:v>
              </c:pt>
              <c:pt idx="7">
                <c:v>lutfia</c:v>
              </c:pt>
              <c:pt idx="8">
                <c:v>malkia</c:v>
              </c:pt>
              <c:pt idx="9">
                <c:v>Mariame</c:v>
              </c:pt>
              <c:pt idx="10">
                <c:v>Mufti</c:v>
              </c:pt>
              <c:pt idx="11">
                <c:v>nayla</c:v>
              </c:pt>
              <c:pt idx="12">
                <c:v>rabinati</c:v>
              </c:pt>
              <c:pt idx="13">
                <c:v>raina</c:v>
              </c:pt>
              <c:pt idx="14">
                <c:v>riwad</c:v>
              </c:pt>
              <c:pt idx="15">
                <c:v>suraya</c:v>
              </c:pt>
              <c:pt idx="16">
                <c:v>Taadhuma</c:v>
              </c:pt>
              <c:pt idx="17">
                <c:v>Thamarati</c:v>
              </c:pt>
            </c:strLit>
          </c:cat>
          <c:val>
            <c:numLit>
              <c:formatCode>General</c:formatCode>
              <c:ptCount val="18"/>
              <c:pt idx="0">
                <c:v>13</c:v>
              </c:pt>
              <c:pt idx="1">
                <c:v>6</c:v>
              </c:pt>
              <c:pt idx="2">
                <c:v>27</c:v>
              </c:pt>
              <c:pt idx="3">
                <c:v>13</c:v>
              </c:pt>
              <c:pt idx="4">
                <c:v>15</c:v>
              </c:pt>
              <c:pt idx="5">
                <c:v>22</c:v>
              </c:pt>
              <c:pt idx="6">
                <c:v>14</c:v>
              </c:pt>
              <c:pt idx="7">
                <c:v>16</c:v>
              </c:pt>
              <c:pt idx="8">
                <c:v>13</c:v>
              </c:pt>
              <c:pt idx="9">
                <c:v>0</c:v>
              </c:pt>
              <c:pt idx="10">
                <c:v>18</c:v>
              </c:pt>
              <c:pt idx="11">
                <c:v>21</c:v>
              </c:pt>
              <c:pt idx="12">
                <c:v>18</c:v>
              </c:pt>
              <c:pt idx="13">
                <c:v>27</c:v>
              </c:pt>
              <c:pt idx="14">
                <c:v>11</c:v>
              </c:pt>
              <c:pt idx="15">
                <c:v>20</c:v>
              </c:pt>
              <c:pt idx="16">
                <c:v>28</c:v>
              </c:pt>
              <c:pt idx="17">
                <c:v>3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6001-432B-8989-3022BD6D6223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113749951"/>
        <c:axId val="1113745151"/>
      </c:lineChart>
      <c:catAx>
        <c:axId val="11137499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3745151"/>
        <c:crosses val="autoZero"/>
        <c:auto val="1"/>
        <c:lblAlgn val="ctr"/>
        <c:lblOffset val="100"/>
        <c:noMultiLvlLbl val="0"/>
      </c:catAx>
      <c:valAx>
        <c:axId val="1113745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37499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22000">
          <a:schemeClr val="tx2">
            <a:lumMod val="25000"/>
            <a:lumOff val="75000"/>
          </a:schemeClr>
        </a:gs>
        <a:gs pos="100000">
          <a:schemeClr val="accent1">
            <a:lumMod val="30000"/>
            <a:lumOff val="70000"/>
          </a:schemeClr>
        </a:gs>
      </a:gsLst>
      <a:path path="circle">
        <a:fillToRect l="100000" t="100000"/>
      </a:path>
      <a:tileRect r="-100000" b="-100000"/>
    </a:gra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38100" dir="2700000" algn="tl" rotWithShape="0">
        <a:prstClr val="black">
          <a:alpha val="40000"/>
        </a:prstClr>
      </a:outerShdw>
      <a:softEdge rad="12700"/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VENTES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162206319"/>
        <c:axId val="1162194319"/>
      </c:barChart>
      <c:catAx>
        <c:axId val="11622063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2194319"/>
        <c:crosses val="autoZero"/>
        <c:auto val="1"/>
        <c:lblAlgn val="ctr"/>
        <c:lblOffset val="100"/>
        <c:noMultiLvlLbl val="0"/>
      </c:catAx>
      <c:valAx>
        <c:axId val="1162194319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1622063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gradFill flip="none" rotWithShape="1">
        <a:gsLst>
          <a:gs pos="0">
            <a:schemeClr val="accent1">
              <a:lumMod val="40000"/>
              <a:lumOff val="60000"/>
            </a:schemeClr>
          </a:gs>
          <a:gs pos="35000">
            <a:schemeClr val="accent4">
              <a:lumMod val="0"/>
              <a:lumOff val="100000"/>
            </a:schemeClr>
          </a:gs>
          <a:gs pos="100000">
            <a:schemeClr val="accent4">
              <a:lumMod val="100000"/>
            </a:schemeClr>
          </a:gs>
        </a:gsLst>
        <a:path path="circle">
          <a:fillToRect l="50000" t="-80000" r="50000" b="180000"/>
        </a:path>
        <a:tileRect/>
      </a:gradFill>
      <a:round/>
    </a:ln>
    <a:effectLst/>
    <a:scene3d>
      <a:camera prst="orthographicFront"/>
      <a:lightRig rig="threePt" dir="t"/>
    </a:scene3d>
    <a:sp3d prstMaterial="matte">
      <a:bevelT/>
    </a:sp3d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137160</xdr:colOff>
      <xdr:row>3</xdr:row>
      <xdr:rowOff>83820</xdr:rowOff>
    </xdr:from>
    <xdr:to>
      <xdr:col>18</xdr:col>
      <xdr:colOff>7620</xdr:colOff>
      <xdr:row>18</xdr:row>
      <xdr:rowOff>83820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B0057AD-7968-4338-8A52-02DA047A01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655320</xdr:colOff>
      <xdr:row>3</xdr:row>
      <xdr:rowOff>76200</xdr:rowOff>
    </xdr:from>
    <xdr:to>
      <xdr:col>12</xdr:col>
      <xdr:colOff>762000</xdr:colOff>
      <xdr:row>18</xdr:row>
      <xdr:rowOff>76200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08FB0B14-D23A-439C-9ECC-3EEE01D56D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312420</xdr:colOff>
      <xdr:row>3</xdr:row>
      <xdr:rowOff>83820</xdr:rowOff>
    </xdr:from>
    <xdr:to>
      <xdr:col>7</xdr:col>
      <xdr:colOff>487680</xdr:colOff>
      <xdr:row>18</xdr:row>
      <xdr:rowOff>83820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AB54BD6F-6645-41A3-B0FB-6979185C7A1A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60960</xdr:colOff>
      <xdr:row>3</xdr:row>
      <xdr:rowOff>106680</xdr:rowOff>
    </xdr:from>
    <xdr:to>
      <xdr:col>2</xdr:col>
      <xdr:colOff>236220</xdr:colOff>
      <xdr:row>18</xdr:row>
      <xdr:rowOff>114300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" name="date">
              <a:extLst>
                <a:ext uri="{FF2B5EF4-FFF2-40B4-BE49-F238E27FC236}">
                  <a16:creationId xmlns:a16="http://schemas.microsoft.com/office/drawing/2014/main" id="{51F5B9A0-8670-8901-9936-B5C71D8A3B3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at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0960" y="655320"/>
              <a:ext cx="1760220" cy="275082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Cette forme représente un segment. Les segments sont pris en charge dans Excel 2010 ou version ultérieure.
En revanche, si la forme a été modifiée dans une version précédente d’Excel, ou si le classeur a été enregistré dans Excel 2003 ou une version précédente, vous ne pouvez pas utiliser le segment.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7620</xdr:colOff>
      <xdr:row>18</xdr:row>
      <xdr:rowOff>175261</xdr:rowOff>
    </xdr:from>
    <xdr:to>
      <xdr:col>2</xdr:col>
      <xdr:colOff>251460</xdr:colOff>
      <xdr:row>31</xdr:row>
      <xdr:rowOff>121921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6" name="Agent">
              <a:extLst>
                <a:ext uri="{FF2B5EF4-FFF2-40B4-BE49-F238E27FC236}">
                  <a16:creationId xmlns:a16="http://schemas.microsoft.com/office/drawing/2014/main" id="{680D45A1-5855-C936-ABD2-362EFC71E44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gent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620" y="3467101"/>
              <a:ext cx="1828800" cy="24384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Cette forme représente un segment. Les segments sont pris en charge dans Excel 2010 ou version ultérieure.
En revanche, si la forme a été modifiée dans une version précédente d’Excel, ou si le classeur a été enregistré dans Excel 2003 ou une version précédente, vous ne pouvez pas utiliser le segment.</a:t>
              </a:r>
            </a:p>
          </xdr:txBody>
        </xdr:sp>
      </mc:Fallback>
    </mc:AlternateContent>
    <xdr:clientData/>
  </xdr:twoCellAnchor>
  <xdr:twoCellAnchor>
    <xdr:from>
      <xdr:col>2</xdr:col>
      <xdr:colOff>350520</xdr:colOff>
      <xdr:row>19</xdr:row>
      <xdr:rowOff>7620</xdr:rowOff>
    </xdr:from>
    <xdr:to>
      <xdr:col>7</xdr:col>
      <xdr:colOff>510540</xdr:colOff>
      <xdr:row>32</xdr:row>
      <xdr:rowOff>45720</xdr:rowOff>
    </xdr:to>
    <xdr:graphicFrame macro="">
      <xdr:nvGraphicFramePr>
        <xdr:cNvPr id="9" name="Graphique 8">
          <a:extLst>
            <a:ext uri="{FF2B5EF4-FFF2-40B4-BE49-F238E27FC236}">
              <a16:creationId xmlns:a16="http://schemas.microsoft.com/office/drawing/2014/main" id="{B9485D09-DDBF-4B57-897B-77711780C15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oneCellAnchor>
    <xdr:from>
      <xdr:col>9</xdr:col>
      <xdr:colOff>0</xdr:colOff>
      <xdr:row>22</xdr:row>
      <xdr:rowOff>38100</xdr:rowOff>
    </xdr:from>
    <xdr:ext cx="1607820" cy="615080"/>
    <xdr:sp macro="" textlink="">
      <xdr:nvSpPr>
        <xdr:cNvPr id="10" name="ZoneTexte 9">
          <a:extLst>
            <a:ext uri="{FF2B5EF4-FFF2-40B4-BE49-F238E27FC236}">
              <a16:creationId xmlns:a16="http://schemas.microsoft.com/office/drawing/2014/main" id="{E8AA8FF3-96F8-FDEF-1EEF-FED03EF438C2}"/>
            </a:ext>
          </a:extLst>
        </xdr:cNvPr>
        <xdr:cNvSpPr txBox="1"/>
      </xdr:nvSpPr>
      <xdr:spPr>
        <a:xfrm>
          <a:off x="7132320" y="4175760"/>
          <a:ext cx="1607820" cy="615080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noAutofit/>
        </a:bodyPr>
        <a:lstStyle/>
        <a:p>
          <a:pPr algn="ctr"/>
          <a:r>
            <a:rPr lang="en-US" sz="3200" b="1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124,05</a:t>
          </a:r>
          <a:r>
            <a:rPr lang="en-US" sz="3200">
              <a:effectLst/>
            </a:rPr>
            <a:t> </a:t>
          </a:r>
          <a:endParaRPr lang="en-US" sz="3200"/>
        </a:p>
      </xdr:txBody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farou\Downloads\aylan%20compt%20(Enregistr&#233;%20automatiquement)%20(1).xlsx" TargetMode="External"/><Relationship Id="rId1" Type="http://schemas.openxmlformats.org/officeDocument/2006/relationships/externalLinkPath" Target="aylan%20compt%20(Enregistr&#233;%20automatiquement)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VENTS "/>
      <sheetName val="Feuil1"/>
      <sheetName val="VENTES"/>
      <sheetName val="RCP"/>
      <sheetName val="TBL DYNAMIQUE"/>
      <sheetName val="COMMISION"/>
      <sheetName val="VENTES DE MAI"/>
      <sheetName val="produits longrich"/>
      <sheetName val="ANALYSE"/>
      <sheetName val="RCP MAI"/>
      <sheetName val="LISTE DE MOI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629">
          <cell r="G629">
            <v>8000</v>
          </cell>
        </row>
        <row r="638">
          <cell r="G638">
            <v>8000</v>
          </cell>
        </row>
      </sheetData>
      <sheetData sheetId="7" refreshError="1"/>
      <sheetData sheetId="8" refreshError="1"/>
      <sheetData sheetId="9" refreshError="1"/>
      <sheetData sheetId="10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ohamed mustak" refreshedDate="46220.353761574072" createdVersion="8" refreshedVersion="8" minRefreshableVersion="3" recordCount="25" xr:uid="{AF27B702-E94F-4E55-B886-9AC70BFE8952}">
  <cacheSource type="worksheet">
    <worksheetSource name="Tableau1"/>
  </cacheSource>
  <cacheFields count="9">
    <cacheField name="DATE" numFmtId="14">
      <sharedItems containsSemiMixedTypes="0" containsNonDate="0" containsDate="1" containsString="0" minDate="2026-07-15T01:43:43" maxDate="2026-07-15T01:43:43"/>
    </cacheField>
    <cacheField name="NOME VEDEURES" numFmtId="0">
      <sharedItems count="10">
        <s v="Loutfat"/>
        <s v="loutfia"/>
        <s v="beny"/>
        <s v="Thadhuma"/>
        <s v="Hdidja"/>
        <s v="Kalathoumi"/>
        <s v="Asna"/>
        <s v="Mariam"/>
        <s v="Faydhoiti"/>
        <s v="Thamaratie"/>
      </sharedItems>
    </cacheField>
    <cacheField name="PRODUIT" numFmtId="0">
      <sharedItems/>
    </cacheField>
    <cacheField name="QT" numFmtId="0">
      <sharedItems containsSemiMixedTypes="0" containsString="0" containsNumber="1" containsInteger="1" minValue="1" maxValue="1"/>
    </cacheField>
    <cacheField name="PRIX" numFmtId="0">
      <sharedItems containsSemiMixedTypes="0" containsString="0" containsNumber="1" containsInteger="1" minValue="4000" maxValue="30000"/>
    </cacheField>
    <cacheField name="MONTANT" numFmtId="0">
      <sharedItems containsSemiMixedTypes="0" containsString="0" containsNumber="1" containsInteger="1" minValue="4000" maxValue="30000"/>
    </cacheField>
    <cacheField name="MVOLA" numFmtId="0">
      <sharedItems containsNonDate="0" containsString="0" containsBlank="1"/>
    </cacheField>
    <cacheField name="PRIX COM" numFmtId="0">
      <sharedItems containsString="0" containsBlank="1" containsNumber="1" containsInteger="1" minValue="1000" maxValue="2500"/>
    </cacheField>
    <cacheField name="MONTANT COMMİSSİON" numFmtId="0">
      <sharedItems containsSemiMixedTypes="0" containsString="0" containsNumber="1" containsInteger="1" minValue="0" maxValue="25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ohamed mustak" refreshedDate="46232.428705902777" createdVersion="8" refreshedVersion="8" minRefreshableVersion="3" recordCount="1368" xr:uid="{39F1C8BE-68D7-4F8F-A74E-46A9755D1A50}">
  <cacheSource type="worksheet">
    <worksheetSource name="Tableau3"/>
  </cacheSource>
  <cacheFields count="13">
    <cacheField name="date" numFmtId="14">
      <sharedItems containsDate="1" containsMixedTypes="1" minDate="2026-05-04T00:00:00" maxDate="2026-07-31T00:00:00" count="84">
        <s v="27,04,2026"/>
        <s v="28,04,2026"/>
        <s v="29,04,2026"/>
        <s v="30,04,2026"/>
        <s v="01,05,2026"/>
        <d v="2026-05-04T00:00:00"/>
        <d v="2026-05-05T00:00:00"/>
        <d v="2026-05-06T00:00:00"/>
        <d v="2026-05-07T00:00:00"/>
        <d v="2026-05-08T00:00:00"/>
        <d v="2026-05-19T00:00:00"/>
        <d v="2026-05-20T00:00:00"/>
        <d v="2026-05-21T00:00:00"/>
        <d v="2026-05-22T00:00:00"/>
        <d v="2026-05-23T00:00:00"/>
        <d v="2026-05-24T00:00:00"/>
        <d v="2026-05-25T00:00:00"/>
        <d v="2026-05-26T00:00:00"/>
        <d v="2026-05-27T00:00:00"/>
        <d v="2026-05-28T00:00:00"/>
        <d v="2026-05-29T00:00:00"/>
        <d v="2026-05-30T00:00:00"/>
        <d v="2026-05-31T00:00:00"/>
        <d v="2026-06-01T00:00:00"/>
        <d v="2026-06-02T00:00:00"/>
        <d v="2026-06-03T00:00:00"/>
        <d v="2026-06-04T00:00:00"/>
        <d v="2026-06-05T00:00:00"/>
        <d v="2026-06-06T00:00:00"/>
        <d v="2026-06-07T00:00:00"/>
        <d v="2026-06-08T00:00:00"/>
        <d v="2026-06-09T00:00:00"/>
        <d v="2026-06-10T00:00:00"/>
        <d v="2026-06-11T00:00:00"/>
        <d v="2026-06-12T00:00:00"/>
        <d v="2026-06-13T00:00:00"/>
        <d v="2026-06-14T00:00:00"/>
        <d v="2026-06-15T00:00:00"/>
        <d v="2026-06-16T00:00:00"/>
        <d v="2026-06-17T00:00:00"/>
        <d v="2026-06-18T00:00:00"/>
        <d v="2026-06-19T00:00:00"/>
        <d v="2026-06-20T00:00:00"/>
        <d v="2026-06-21T00:00:00"/>
        <d v="2026-06-22T00:00:00"/>
        <d v="2026-06-23T00:00:00"/>
        <d v="2026-06-24T00:00:00"/>
        <d v="2026-06-25T00:00:00"/>
        <d v="2026-06-26T00:00:00"/>
        <d v="2026-06-27T00:00:00"/>
        <d v="2026-06-28T00:00:00"/>
        <d v="2026-06-29T00:00:00"/>
        <d v="2026-06-30T00:00:00"/>
        <s v="31.06.2026"/>
        <d v="2026-07-01T00:00:00"/>
        <d v="2026-07-02T00:00:00"/>
        <d v="2026-07-03T00:00:00"/>
        <d v="2026-07-04T00:00:00"/>
        <d v="2026-07-05T00:00:00"/>
        <d v="2026-07-06T00:00:00"/>
        <d v="2026-07-07T00:00:00"/>
        <d v="2026-07-08T00:00:00"/>
        <d v="2026-07-09T00:00:00"/>
        <d v="2026-07-10T00:00:00"/>
        <d v="2026-07-11T00:00:00"/>
        <d v="2026-07-12T00:00:00"/>
        <d v="2026-07-13T00:00:00"/>
        <d v="2026-07-14T00:00:00"/>
        <d v="2026-07-15T00:00:00"/>
        <d v="2026-07-16T00:00:00"/>
        <d v="2026-07-17T00:00:00"/>
        <d v="2026-07-18T00:00:00"/>
        <d v="2026-07-19T00:00:00"/>
        <d v="2026-07-20T00:00:00"/>
        <d v="2026-07-21T00:00:00"/>
        <d v="2026-07-22T00:00:00"/>
        <d v="2026-07-23T00:00:00"/>
        <d v="2026-07-24T00:00:00"/>
        <d v="2026-07-25T00:00:00"/>
        <d v="2026-07-26T00:00:00"/>
        <d v="2026-07-27T00:00:00"/>
        <d v="2026-07-28T00:00:00"/>
        <d v="2026-07-29T00:00:00"/>
        <d v="2026-07-30T00:00:00"/>
      </sharedItems>
    </cacheField>
    <cacheField name="nom de la page" numFmtId="0">
      <sharedItems/>
    </cacheField>
    <cacheField name="campagne" numFmtId="0">
      <sharedItems containsBlank="1"/>
    </cacheField>
    <cacheField name="Agent" numFmtId="0">
      <sharedItems count="35">
        <s v="Taadhuma"/>
        <s v="Takwim"/>
        <s v="Rahma"/>
        <s v="Ben"/>
        <s v="Richma"/>
        <s v="Hissanı"/>
        <s v="Asna"/>
        <s v="Nadjma"/>
        <s v="Mufti"/>
        <s v="Thamarati"/>
        <s v="Natty"/>
        <s v="Zamzam"/>
        <s v="Hadidja"/>
        <s v="rayna"/>
        <s v="raina"/>
        <s v="lutfia"/>
        <s v="fayrati"/>
        <s v="Mariame"/>
        <s v="faidhoiti"/>
        <s v="riwad"/>
        <s v="balmata"/>
        <s v="loutfat"/>
        <s v="hamida"/>
        <s v="nayla"/>
        <s v="suraya"/>
        <s v="coach"/>
        <s v="malkia"/>
        <s v="rabinati"/>
        <s v="MARİAME"/>
        <s v="kalathome"/>
        <s v="kalathoume"/>
        <s v="rachida"/>
        <s v="amine"/>
        <s v="lutfat" u="1"/>
        <s v="malika" u="1"/>
      </sharedItems>
    </cacheField>
    <cacheField name="prospet" numFmtId="0">
      <sharedItems containsString="0" containsBlank="1" containsNumber="1" containsInteger="1" minValue="0" maxValue="104"/>
    </cacheField>
    <cacheField name="Ventes" numFmtId="0">
      <sharedItems containsBlank="1" containsMixedTypes="1" containsNumber="1" containsInteger="1" minValue="0" maxValue="14"/>
    </cacheField>
    <cacheField name="Depence" numFmtId="0">
      <sharedItems containsString="0" containsBlank="1" containsNumber="1" minValue="0" maxValue="6.66"/>
    </cacheField>
    <cacheField name="chiffre d affaire" numFmtId="0">
      <sharedItems containsString="0" containsBlank="1" containsNumber="1" containsInteger="1" minValue="0" maxValue="119500"/>
    </cacheField>
    <cacheField name="commission" numFmtId="0">
      <sharedItems containsString="0" containsBlank="1" containsNumber="1" containsInteger="1" minValue="0" maxValue="14750"/>
    </cacheField>
    <cacheField name="TC" numFmtId="9">
      <sharedItems containsMixedTypes="1" containsNumber="1" minValue="0" maxValue="3"/>
    </cacheField>
    <cacheField name="Colonne1" numFmtId="0">
      <sharedItems containsString="0" containsBlank="1" containsNumber="1" containsInteger="1" minValue="3234586" maxValue="4937885"/>
    </cacheField>
    <cacheField name="Taux de conversion" numFmtId="0" formula="Ventes/prospet" databaseField="0"/>
    <cacheField name="TAUX DE COMVERSİON" numFmtId="0" formula="Ventes/prospet" databaseField="0"/>
  </cacheFields>
  <extLst>
    <ext xmlns:x14="http://schemas.microsoft.com/office/spreadsheetml/2009/9/main" uri="{725AE2AE-9491-48be-B2B4-4EB974FC3084}">
      <x14:pivotCacheDefinition pivotCacheId="91107449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">
  <r>
    <d v="2026-07-15T01:43:43"/>
    <x v="0"/>
    <s v="the vert"/>
    <n v="1"/>
    <n v="12500"/>
    <n v="12500"/>
    <m/>
    <n v="2500"/>
    <n v="2500"/>
  </r>
  <r>
    <d v="2026-07-15T01:43:43"/>
    <x v="1"/>
    <s v="vitamine c"/>
    <n v="1"/>
    <n v="8000"/>
    <n v="8000"/>
    <m/>
    <n v="1500"/>
    <n v="1500"/>
  </r>
  <r>
    <d v="2026-07-15T01:43:43"/>
    <x v="2"/>
    <s v="gel orange"/>
    <n v="1"/>
    <n v="12500"/>
    <n v="12500"/>
    <m/>
    <n v="1500"/>
    <n v="1500"/>
  </r>
  <r>
    <d v="2026-07-15T01:43:43"/>
    <x v="3"/>
    <s v="savon noir"/>
    <n v="1"/>
    <n v="5000"/>
    <n v="5000"/>
    <m/>
    <n v="1000"/>
    <n v="1000"/>
  </r>
  <r>
    <d v="2026-07-15T01:43:43"/>
    <x v="3"/>
    <s v="Creme sod"/>
    <n v="1"/>
    <n v="10000"/>
    <n v="10000"/>
    <m/>
    <m/>
    <n v="0"/>
  </r>
  <r>
    <d v="2026-07-15T01:43:43"/>
    <x v="3"/>
    <s v="hend creme"/>
    <n v="1"/>
    <n v="7500"/>
    <n v="7500"/>
    <m/>
    <m/>
    <n v="0"/>
  </r>
  <r>
    <d v="2026-07-15T01:43:43"/>
    <x v="3"/>
    <s v="prebiotique"/>
    <n v="1"/>
    <n v="17500"/>
    <n v="17500"/>
    <m/>
    <n v="2500"/>
    <n v="2500"/>
  </r>
  <r>
    <d v="2026-07-15T01:43:43"/>
    <x v="4"/>
    <s v="Creme rejenissant"/>
    <n v="1"/>
    <n v="11500"/>
    <n v="11500"/>
    <m/>
    <m/>
    <n v="0"/>
  </r>
  <r>
    <d v="2026-07-15T01:43:43"/>
    <x v="5"/>
    <s v="hend creme"/>
    <n v="1"/>
    <n v="7500"/>
    <n v="7500"/>
    <m/>
    <m/>
    <n v="0"/>
  </r>
  <r>
    <d v="2026-07-15T01:43:43"/>
    <x v="5"/>
    <s v="gel orange"/>
    <n v="1"/>
    <n v="12500"/>
    <n v="12500"/>
    <m/>
    <n v="1500"/>
    <n v="1500"/>
  </r>
  <r>
    <d v="2026-07-15T01:43:43"/>
    <x v="5"/>
    <s v=" Masque collagen"/>
    <n v="1"/>
    <n v="10000"/>
    <n v="10000"/>
    <m/>
    <m/>
    <n v="0"/>
  </r>
  <r>
    <d v="2026-07-15T01:43:43"/>
    <x v="6"/>
    <s v="vitamin c"/>
    <n v="1"/>
    <n v="8000"/>
    <n v="8000"/>
    <m/>
    <m/>
    <n v="0"/>
  </r>
  <r>
    <d v="2026-07-15T01:43:43"/>
    <x v="3"/>
    <s v="dentifrice "/>
    <n v="1"/>
    <n v="7000"/>
    <n v="7000"/>
    <m/>
    <m/>
    <n v="0"/>
  </r>
  <r>
    <d v="2026-07-15T01:43:43"/>
    <x v="1"/>
    <s v="gel orange"/>
    <n v="1"/>
    <n v="12000"/>
    <n v="12000"/>
    <m/>
    <n v="1500"/>
    <n v="1500"/>
  </r>
  <r>
    <d v="2026-07-15T01:43:43"/>
    <x v="1"/>
    <s v="vitamine c"/>
    <n v="1"/>
    <n v="8000"/>
    <n v="8000"/>
    <m/>
    <m/>
    <n v="0"/>
  </r>
  <r>
    <d v="2026-07-15T01:43:43"/>
    <x v="3"/>
    <s v="savon au riz"/>
    <n v="1"/>
    <n v="4000"/>
    <n v="4000"/>
    <m/>
    <n v="1000"/>
    <n v="1000"/>
  </r>
  <r>
    <d v="2026-07-15T01:43:43"/>
    <x v="7"/>
    <s v="huil de serpent "/>
    <n v="1"/>
    <n v="7500"/>
    <n v="7500"/>
    <m/>
    <m/>
    <n v="0"/>
  </r>
  <r>
    <d v="2026-07-15T01:43:43"/>
    <x v="8"/>
    <s v="hand creme"/>
    <n v="1"/>
    <n v="7500"/>
    <n v="7500"/>
    <m/>
    <m/>
    <n v="0"/>
  </r>
  <r>
    <d v="2026-07-15T01:43:43"/>
    <x v="0"/>
    <s v="gel orange"/>
    <n v="1"/>
    <n v="12500"/>
    <n v="12500"/>
    <m/>
    <n v="1500"/>
    <n v="1500"/>
  </r>
  <r>
    <d v="2026-07-15T01:43:43"/>
    <x v="2"/>
    <s v="Libao"/>
    <n v="1"/>
    <n v="30000"/>
    <n v="30000"/>
    <m/>
    <m/>
    <n v="0"/>
  </r>
  <r>
    <d v="2026-07-15T01:43:43"/>
    <x v="2"/>
    <s v="savon au riz"/>
    <n v="1"/>
    <n v="4000"/>
    <n v="4000"/>
    <m/>
    <m/>
    <n v="0"/>
  </r>
  <r>
    <d v="2026-07-15T01:43:43"/>
    <x v="2"/>
    <s v="Vitaminc"/>
    <n v="1"/>
    <n v="8000"/>
    <n v="8000"/>
    <m/>
    <m/>
    <n v="0"/>
  </r>
  <r>
    <d v="2026-07-15T01:43:43"/>
    <x v="5"/>
    <s v="gel orange"/>
    <n v="1"/>
    <n v="12500"/>
    <n v="12500"/>
    <m/>
    <m/>
    <n v="0"/>
  </r>
  <r>
    <d v="2026-07-15T01:43:43"/>
    <x v="9"/>
    <s v="huil de serpent et champooin"/>
    <n v="1"/>
    <n v="17500"/>
    <n v="17500"/>
    <m/>
    <m/>
    <n v="0"/>
  </r>
  <r>
    <d v="2026-07-15T01:43:43"/>
    <x v="0"/>
    <s v="the minceur"/>
    <n v="1"/>
    <n v="12500"/>
    <n v="12500"/>
    <m/>
    <n v="2500"/>
    <n v="250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68">
  <r>
    <x v="0"/>
    <s v="Boutique de Soin"/>
    <s v="Moulinex/marmite"/>
    <x v="0"/>
    <n v="18"/>
    <n v="1"/>
    <n v="1.63"/>
    <m/>
    <m/>
    <n v="5.5555555555555552E-2"/>
    <m/>
  </r>
  <r>
    <x v="0"/>
    <s v="Mustak Market"/>
    <s v="Moulinex/marmite"/>
    <x v="1"/>
    <n v="12"/>
    <n v="2"/>
    <n v="1.7"/>
    <m/>
    <m/>
    <n v="0.16666666666666666"/>
    <m/>
  </r>
  <r>
    <x v="0"/>
    <s v="RMAA shop"/>
    <s v="moulinex a sec/huile"/>
    <x v="2"/>
    <n v="10"/>
    <n v="2"/>
    <n v="1.8"/>
    <m/>
    <m/>
    <n v="0.2"/>
    <m/>
  </r>
  <r>
    <x v="0"/>
    <s v="Ben Store"/>
    <s v="marmite/huile/prise de poids"/>
    <x v="3"/>
    <n v="17"/>
    <n v="2"/>
    <n v="1.31"/>
    <m/>
    <m/>
    <n v="0.11764705882352941"/>
    <m/>
  </r>
  <r>
    <x v="0"/>
    <s v="Richma Shop"/>
    <s v="café/marmite"/>
    <x v="4"/>
    <n v="11"/>
    <n v="2"/>
    <n v="1.56"/>
    <m/>
    <m/>
    <n v="0.18181818181818182"/>
    <m/>
  </r>
  <r>
    <x v="0"/>
    <s v="Hissanı"/>
    <s v="savon soap/café "/>
    <x v="5"/>
    <n v="4"/>
    <s v="Na"/>
    <n v="0.57999999999999996"/>
    <m/>
    <m/>
    <e v="#VALUE!"/>
    <m/>
  </r>
  <r>
    <x v="0"/>
    <s v="Asna"/>
    <s v="savon soap/casserole"/>
    <x v="6"/>
    <n v="13"/>
    <s v="Na"/>
    <n v="1.36"/>
    <m/>
    <m/>
    <e v="#VALUE!"/>
    <m/>
  </r>
  <r>
    <x v="0"/>
    <s v="Nadjma"/>
    <s v="moulinex a sec/casserole"/>
    <x v="7"/>
    <n v="22"/>
    <s v="Na"/>
    <n v="2.87"/>
    <m/>
    <m/>
    <e v="#VALUE!"/>
    <m/>
  </r>
  <r>
    <x v="1"/>
    <s v="Boutique de Soin"/>
    <s v="Moulinex/marmite"/>
    <x v="0"/>
    <n v="18"/>
    <n v="2"/>
    <n v="1.63"/>
    <m/>
    <m/>
    <n v="0.1111111111111111"/>
    <m/>
  </r>
  <r>
    <x v="1"/>
    <s v="Mustak Market"/>
    <s v="Moulinex/marmite"/>
    <x v="1"/>
    <n v="23"/>
    <n v="0"/>
    <n v="2.5099999999999998"/>
    <m/>
    <m/>
    <n v="0"/>
    <m/>
  </r>
  <r>
    <x v="1"/>
    <s v="RMAA shop"/>
    <s v="moulinex a sec/huile"/>
    <x v="2"/>
    <n v="12"/>
    <n v="1"/>
    <n v="1.47"/>
    <m/>
    <m/>
    <n v="8.3333333333333329E-2"/>
    <m/>
  </r>
  <r>
    <x v="1"/>
    <s v="Ben Store"/>
    <s v="marmite/huile/prise de poids"/>
    <x v="3"/>
    <n v="31"/>
    <n v="1"/>
    <n v="2.73"/>
    <m/>
    <m/>
    <n v="3.2258064516129031E-2"/>
    <m/>
  </r>
  <r>
    <x v="1"/>
    <s v="Richma Shop"/>
    <s v="café/marmite"/>
    <x v="4"/>
    <n v="21"/>
    <n v="1"/>
    <n v="2.87"/>
    <m/>
    <m/>
    <n v="4.7619047619047616E-2"/>
    <m/>
  </r>
  <r>
    <x v="1"/>
    <s v="Asna"/>
    <s v="savon soap/casserole"/>
    <x v="6"/>
    <n v="12"/>
    <s v="Na"/>
    <n v="2.21"/>
    <m/>
    <m/>
    <e v="#VALUE!"/>
    <m/>
  </r>
  <r>
    <x v="1"/>
    <s v="Nadjma"/>
    <s v="moulinex a sec/casserole"/>
    <x v="7"/>
    <n v="21"/>
    <s v="Na"/>
    <n v="3.48"/>
    <m/>
    <m/>
    <e v="#VALUE!"/>
    <m/>
  </r>
  <r>
    <x v="1"/>
    <s v="Hissanı"/>
    <s v="Café/savon"/>
    <x v="5"/>
    <n v="40"/>
    <n v="0"/>
    <n v="3.22"/>
    <m/>
    <m/>
    <n v="0"/>
    <m/>
  </r>
  <r>
    <x v="2"/>
    <s v="Boutique de Soin"/>
    <s v="Moulinex/marmite"/>
    <x v="0"/>
    <n v="24"/>
    <n v="3"/>
    <n v="3.03"/>
    <m/>
    <m/>
    <n v="0.125"/>
    <m/>
  </r>
  <r>
    <x v="2"/>
    <s v="Mustak Market"/>
    <s v="Moulinex/marmite"/>
    <x v="1"/>
    <n v="13"/>
    <n v="1"/>
    <n v="2.5299999999999998"/>
    <m/>
    <m/>
    <n v="7.6923076923076927E-2"/>
    <m/>
  </r>
  <r>
    <x v="2"/>
    <s v="RMAA shop"/>
    <s v="moulinex a sec/huile"/>
    <x v="2"/>
    <n v="18"/>
    <n v="0"/>
    <n v="3.03"/>
    <m/>
    <m/>
    <n v="0"/>
    <m/>
  </r>
  <r>
    <x v="2"/>
    <s v="Ben Store"/>
    <s v="marmite/huile/prise de poids"/>
    <x v="3"/>
    <n v="28"/>
    <n v="1"/>
    <n v="2.4500000000000002"/>
    <m/>
    <m/>
    <n v="3.5714285714285712E-2"/>
    <m/>
  </r>
  <r>
    <x v="2"/>
    <s v="Richma Shop"/>
    <s v="café/marmite"/>
    <x v="4"/>
    <n v="62"/>
    <n v="1"/>
    <n v="4.66"/>
    <m/>
    <m/>
    <n v="1.6129032258064516E-2"/>
    <m/>
  </r>
  <r>
    <x v="2"/>
    <s v="Hissanı"/>
    <s v="savon soap/café "/>
    <x v="5"/>
    <n v="40"/>
    <s v="Na"/>
    <n v="2.33"/>
    <m/>
    <m/>
    <e v="#VALUE!"/>
    <m/>
  </r>
  <r>
    <x v="2"/>
    <s v="Asna"/>
    <s v="savon soap/casserole"/>
    <x v="6"/>
    <n v="32"/>
    <s v="Na"/>
    <n v="3.03"/>
    <m/>
    <m/>
    <e v="#VALUE!"/>
    <m/>
  </r>
  <r>
    <x v="2"/>
    <s v="Nadjma"/>
    <s v="moulinex a sec/casserole"/>
    <x v="7"/>
    <n v="13"/>
    <s v="Na"/>
    <n v="1.97"/>
    <m/>
    <m/>
    <e v="#VALUE!"/>
    <m/>
  </r>
  <r>
    <x v="2"/>
    <s v="Mufti"/>
    <s v="Café longrish"/>
    <x v="8"/>
    <n v="12"/>
    <s v="Na"/>
    <n v="1.4"/>
    <m/>
    <m/>
    <e v="#VALUE!"/>
    <m/>
  </r>
  <r>
    <x v="3"/>
    <s v="Boutique de Soin"/>
    <s v="Moulinex/marmite"/>
    <x v="0"/>
    <n v="27"/>
    <n v="2"/>
    <n v="2.93"/>
    <m/>
    <m/>
    <n v="7.407407407407407E-2"/>
    <m/>
  </r>
  <r>
    <x v="3"/>
    <s v="Mustak Market"/>
    <s v="Moulinex/marmite"/>
    <x v="1"/>
    <n v="18"/>
    <n v="0"/>
    <n v="2.44"/>
    <m/>
    <m/>
    <n v="0"/>
    <m/>
  </r>
  <r>
    <x v="3"/>
    <s v="RMAA shop"/>
    <s v="moulinex a sec/huile"/>
    <x v="2"/>
    <n v="15"/>
    <n v="1"/>
    <n v="2.65"/>
    <m/>
    <m/>
    <n v="6.6666666666666666E-2"/>
    <m/>
  </r>
  <r>
    <x v="3"/>
    <s v="Ben Store"/>
    <s v="marmite/huile/prise de poids"/>
    <x v="3"/>
    <n v="18"/>
    <n v="1"/>
    <n v="2.6"/>
    <m/>
    <m/>
    <n v="5.5555555555555552E-2"/>
    <m/>
  </r>
  <r>
    <x v="3"/>
    <s v="Richma Shop"/>
    <s v="café/marmite"/>
    <x v="4"/>
    <n v="37"/>
    <n v="2"/>
    <n v="2.78"/>
    <m/>
    <m/>
    <n v="5.4054054054054057E-2"/>
    <m/>
  </r>
  <r>
    <x v="3"/>
    <s v="Hissanı"/>
    <s v="savon soap/café "/>
    <x v="5"/>
    <n v="2"/>
    <s v="Na"/>
    <n v="2.34"/>
    <m/>
    <m/>
    <e v="#VALUE!"/>
    <m/>
  </r>
  <r>
    <x v="3"/>
    <s v="Asna"/>
    <s v="savon soap/casserole"/>
    <x v="6"/>
    <n v="9"/>
    <s v="Na"/>
    <n v="2.87"/>
    <m/>
    <m/>
    <e v="#VALUE!"/>
    <m/>
  </r>
  <r>
    <x v="3"/>
    <s v="Nadjma"/>
    <s v="moulinex a sec/casserole"/>
    <x v="7"/>
    <n v="11"/>
    <s v="Na"/>
    <n v="2.11"/>
    <m/>
    <m/>
    <e v="#VALUE!"/>
    <m/>
  </r>
  <r>
    <x v="3"/>
    <s v="Mufti"/>
    <s v="Café longrish"/>
    <x v="8"/>
    <n v="18"/>
    <s v="Na"/>
    <n v="2.35"/>
    <m/>
    <m/>
    <e v="#VALUE!"/>
    <m/>
  </r>
  <r>
    <x v="4"/>
    <s v="Boutique de Soin"/>
    <s v="Moulinex/marmite"/>
    <x v="0"/>
    <n v="10"/>
    <n v="2"/>
    <n v="2.33"/>
    <m/>
    <m/>
    <n v="0.2"/>
    <m/>
  </r>
  <r>
    <x v="4"/>
    <s v="Mustak Market"/>
    <s v="Moulinex/marmite"/>
    <x v="1"/>
    <n v="25"/>
    <n v="2"/>
    <n v="4.01"/>
    <m/>
    <m/>
    <n v="0.08"/>
    <m/>
  </r>
  <r>
    <x v="4"/>
    <s v="RMAA shop"/>
    <s v="moulinex a sec/huile"/>
    <x v="2"/>
    <n v="23"/>
    <n v="1"/>
    <n v="2.4700000000000002"/>
    <m/>
    <m/>
    <n v="4.3478260869565216E-2"/>
    <m/>
  </r>
  <r>
    <x v="4"/>
    <s v="Ben Store"/>
    <s v="marmite/huile/prise de poids"/>
    <x v="3"/>
    <n v="8"/>
    <n v="2"/>
    <n v="1.7"/>
    <m/>
    <m/>
    <n v="0.25"/>
    <m/>
  </r>
  <r>
    <x v="4"/>
    <s v="Richma Shop"/>
    <s v="café/marmite"/>
    <x v="4"/>
    <n v="23"/>
    <n v="0"/>
    <n v="2.36"/>
    <m/>
    <m/>
    <n v="0"/>
    <m/>
  </r>
  <r>
    <x v="4"/>
    <s v="Hissanı"/>
    <s v="savon soap/café "/>
    <x v="5"/>
    <m/>
    <s v=" NA"/>
    <m/>
    <m/>
    <m/>
    <e v="#VALUE!"/>
    <m/>
  </r>
  <r>
    <x v="4"/>
    <s v="Asna"/>
    <s v="savon soap/casserole"/>
    <x v="6"/>
    <n v="16"/>
    <s v="Na"/>
    <n v="4.05"/>
    <m/>
    <m/>
    <e v="#VALUE!"/>
    <m/>
  </r>
  <r>
    <x v="4"/>
    <s v="Nadjma"/>
    <s v="moulinex a sec/casserole"/>
    <x v="7"/>
    <n v="26"/>
    <s v="Na"/>
    <n v="2.99"/>
    <m/>
    <m/>
    <e v="#VALUE!"/>
    <m/>
  </r>
  <r>
    <x v="4"/>
    <s v="Mufti"/>
    <s v="Café longrish"/>
    <x v="8"/>
    <n v="13"/>
    <s v="Na"/>
    <n v="2.65"/>
    <m/>
    <m/>
    <e v="#VALUE!"/>
    <m/>
  </r>
  <r>
    <x v="5"/>
    <s v="Boutique de Soin"/>
    <m/>
    <x v="0"/>
    <n v="0"/>
    <n v="2"/>
    <n v="0"/>
    <m/>
    <m/>
    <e v="#DIV/0!"/>
    <m/>
  </r>
  <r>
    <x v="5"/>
    <s v="Mustak Market"/>
    <m/>
    <x v="1"/>
    <n v="0"/>
    <n v="1"/>
    <n v="0"/>
    <m/>
    <m/>
    <e v="#DIV/0!"/>
    <m/>
  </r>
  <r>
    <x v="5"/>
    <s v="RMAA shop"/>
    <m/>
    <x v="2"/>
    <n v="0"/>
    <n v="1"/>
    <n v="0"/>
    <m/>
    <m/>
    <e v="#DIV/0!"/>
    <m/>
  </r>
  <r>
    <x v="5"/>
    <s v="Ben Store"/>
    <m/>
    <x v="3"/>
    <n v="0"/>
    <n v="0"/>
    <n v="0"/>
    <m/>
    <m/>
    <e v="#DIV/0!"/>
    <m/>
  </r>
  <r>
    <x v="5"/>
    <s v="Richma Shop"/>
    <m/>
    <x v="4"/>
    <n v="0"/>
    <n v="1"/>
    <n v="0"/>
    <m/>
    <m/>
    <e v="#DIV/0!"/>
    <m/>
  </r>
  <r>
    <x v="5"/>
    <s v="Hissanı"/>
    <m/>
    <x v="5"/>
    <n v="0"/>
    <n v="1"/>
    <n v="0"/>
    <m/>
    <m/>
    <e v="#DIV/0!"/>
    <m/>
  </r>
  <r>
    <x v="5"/>
    <s v="Asna"/>
    <m/>
    <x v="6"/>
    <n v="0"/>
    <n v="0"/>
    <n v="0"/>
    <m/>
    <m/>
    <e v="#DIV/0!"/>
    <m/>
  </r>
  <r>
    <x v="5"/>
    <s v="Nadjma"/>
    <m/>
    <x v="7"/>
    <n v="0"/>
    <n v="0"/>
    <n v="0"/>
    <m/>
    <m/>
    <e v="#DIV/0!"/>
    <m/>
  </r>
  <r>
    <x v="5"/>
    <s v="Thamarati"/>
    <m/>
    <x v="9"/>
    <n v="0"/>
    <n v="0"/>
    <n v="0"/>
    <m/>
    <m/>
    <e v="#DIV/0!"/>
    <m/>
  </r>
  <r>
    <x v="5"/>
    <s v="Natty"/>
    <m/>
    <x v="10"/>
    <n v="0"/>
    <n v="0"/>
    <n v="0"/>
    <m/>
    <m/>
    <e v="#DIV/0!"/>
    <m/>
  </r>
  <r>
    <x v="5"/>
    <s v="Zamzam"/>
    <m/>
    <x v="11"/>
    <n v="0"/>
    <n v="0"/>
    <n v="0"/>
    <m/>
    <m/>
    <e v="#DIV/0!"/>
    <m/>
  </r>
  <r>
    <x v="5"/>
    <s v="Mufti"/>
    <m/>
    <x v="8"/>
    <n v="0"/>
    <n v="0"/>
    <m/>
    <m/>
    <m/>
    <e v="#DIV/0!"/>
    <m/>
  </r>
  <r>
    <x v="6"/>
    <s v="Boutique de Soin"/>
    <s v="Moulinex/moulinex a sec"/>
    <x v="0"/>
    <n v="22"/>
    <n v="0"/>
    <n v="4.46"/>
    <m/>
    <m/>
    <n v="0"/>
    <m/>
  </r>
  <r>
    <x v="6"/>
    <s v="Mustak Market"/>
    <s v="Moulinex/hachoir"/>
    <x v="1"/>
    <n v="31"/>
    <n v="1"/>
    <n v="4.55"/>
    <m/>
    <m/>
    <n v="3.2258064516129031E-2"/>
    <m/>
  </r>
  <r>
    <x v="6"/>
    <s v="RMAA shop"/>
    <s v="savon nigelle/huile"/>
    <x v="2"/>
    <n v="53"/>
    <n v="2"/>
    <n v="4.22"/>
    <m/>
    <m/>
    <n v="3.7735849056603772E-2"/>
    <m/>
  </r>
  <r>
    <x v="6"/>
    <s v="Ben Store"/>
    <s v="casserole/moulinex"/>
    <x v="3"/>
    <n v="23"/>
    <n v="1"/>
    <n v="4.5"/>
    <m/>
    <m/>
    <n v="4.3478260869565216E-2"/>
    <m/>
  </r>
  <r>
    <x v="6"/>
    <s v="Richma Shop"/>
    <s v="café/Attote"/>
    <x v="4"/>
    <n v="66"/>
    <n v="2"/>
    <n v="4.87"/>
    <m/>
    <m/>
    <n v="3.0303030303030304E-2"/>
    <m/>
  </r>
  <r>
    <x v="6"/>
    <s v="Hissanı"/>
    <m/>
    <x v="5"/>
    <n v="0"/>
    <n v="0"/>
    <n v="0"/>
    <m/>
    <m/>
    <e v="#DIV/0!"/>
    <m/>
  </r>
  <r>
    <x v="6"/>
    <s v="Asna"/>
    <m/>
    <x v="6"/>
    <n v="0"/>
    <n v="0"/>
    <n v="0"/>
    <m/>
    <m/>
    <e v="#DIV/0!"/>
    <m/>
  </r>
  <r>
    <x v="6"/>
    <s v="Nadjma"/>
    <m/>
    <x v="7"/>
    <n v="0"/>
    <n v="0"/>
    <n v="0"/>
    <m/>
    <m/>
    <e v="#DIV/0!"/>
    <m/>
  </r>
  <r>
    <x v="6"/>
    <s v="Thamarati"/>
    <s v="moulinex robot"/>
    <x v="9"/>
    <n v="6"/>
    <n v="0"/>
    <n v="2.09"/>
    <m/>
    <m/>
    <n v="0"/>
    <m/>
  </r>
  <r>
    <x v="6"/>
    <s v="Natty"/>
    <s v="parfum a lave/ savon nigelle"/>
    <x v="10"/>
    <n v="27"/>
    <n v="0"/>
    <n v="2.2999999999999998"/>
    <m/>
    <m/>
    <n v="0"/>
    <m/>
  </r>
  <r>
    <x v="6"/>
    <s v="Zamzam"/>
    <s v="Café longrich"/>
    <x v="11"/>
    <n v="0"/>
    <n v="1"/>
    <n v="0"/>
    <m/>
    <m/>
    <e v="#DIV/0!"/>
    <m/>
  </r>
  <r>
    <x v="6"/>
    <s v="Mufti"/>
    <s v="Attote"/>
    <x v="8"/>
    <n v="0"/>
    <n v="0"/>
    <m/>
    <m/>
    <m/>
    <e v="#DIV/0!"/>
    <m/>
  </r>
  <r>
    <x v="7"/>
    <s v="Boutique de Soin"/>
    <s v="Moulinex/moulinex a sec"/>
    <x v="0"/>
    <n v="18"/>
    <n v="2"/>
    <n v="2.64"/>
    <m/>
    <m/>
    <n v="0.1111111111111111"/>
    <m/>
  </r>
  <r>
    <x v="7"/>
    <s v="Mustak Market"/>
    <s v="Moulinex/hachoir"/>
    <x v="1"/>
    <n v="21"/>
    <n v="0"/>
    <n v="2.2000000000000002"/>
    <m/>
    <m/>
    <n v="0"/>
    <m/>
  </r>
  <r>
    <x v="7"/>
    <s v="RMAA shop"/>
    <s v="savon nigelle/huile"/>
    <x v="2"/>
    <n v="30"/>
    <n v="1"/>
    <n v="2.44"/>
    <m/>
    <m/>
    <n v="3.3333333333333333E-2"/>
    <m/>
  </r>
  <r>
    <x v="7"/>
    <s v="Ben Store"/>
    <s v="casserole/moulinex"/>
    <x v="3"/>
    <n v="18"/>
    <n v="1"/>
    <n v="2.8"/>
    <m/>
    <m/>
    <n v="5.5555555555555552E-2"/>
    <m/>
  </r>
  <r>
    <x v="7"/>
    <s v="Richma Shop"/>
    <s v="café/Attote"/>
    <x v="4"/>
    <n v="34"/>
    <n v="1"/>
    <n v="2.39"/>
    <m/>
    <m/>
    <n v="2.9411764705882353E-2"/>
    <m/>
  </r>
  <r>
    <x v="7"/>
    <s v="Hissanı"/>
    <m/>
    <x v="5"/>
    <n v="0"/>
    <n v="0"/>
    <n v="0"/>
    <m/>
    <m/>
    <e v="#DIV/0!"/>
    <m/>
  </r>
  <r>
    <x v="7"/>
    <s v="Asna"/>
    <m/>
    <x v="6"/>
    <n v="0"/>
    <n v="0"/>
    <n v="0"/>
    <m/>
    <m/>
    <e v="#DIV/0!"/>
    <m/>
  </r>
  <r>
    <x v="7"/>
    <s v="Nadjma"/>
    <m/>
    <x v="7"/>
    <n v="0"/>
    <n v="0"/>
    <n v="0"/>
    <m/>
    <m/>
    <e v="#DIV/0!"/>
    <m/>
  </r>
  <r>
    <x v="7"/>
    <s v="Thamarati"/>
    <s v="moulinex robot"/>
    <x v="9"/>
    <n v="12"/>
    <n v="3"/>
    <n v="2.9"/>
    <m/>
    <m/>
    <n v="0.25"/>
    <m/>
  </r>
  <r>
    <x v="7"/>
    <s v="Natty"/>
    <s v="parfum a lave/ savon nigelle"/>
    <x v="10"/>
    <n v="64"/>
    <n v="1"/>
    <n v="3.42"/>
    <m/>
    <m/>
    <n v="1.5625E-2"/>
    <m/>
  </r>
  <r>
    <x v="7"/>
    <s v="Zamzam"/>
    <s v="Café longrich"/>
    <x v="11"/>
    <n v="35"/>
    <n v="2"/>
    <n v="3.97"/>
    <m/>
    <m/>
    <n v="5.7142857142857141E-2"/>
    <m/>
  </r>
  <r>
    <x v="7"/>
    <s v="Mufti"/>
    <s v="Attote"/>
    <x v="8"/>
    <n v="3"/>
    <n v="1"/>
    <n v="0.41"/>
    <m/>
    <m/>
    <n v="0.33333333333333331"/>
    <m/>
  </r>
  <r>
    <x v="8"/>
    <s v="Boutique de Soin"/>
    <s v="Moulinex/moulinex a sec"/>
    <x v="0"/>
    <n v="8"/>
    <n v="2"/>
    <n v="2.44"/>
    <m/>
    <m/>
    <n v="0.25"/>
    <m/>
  </r>
  <r>
    <x v="8"/>
    <s v="Mustak Market"/>
    <s v="Moulinex/hachoir"/>
    <x v="1"/>
    <n v="8"/>
    <n v="0"/>
    <n v="2.0699999999999998"/>
    <m/>
    <m/>
    <n v="0"/>
    <m/>
  </r>
  <r>
    <x v="8"/>
    <s v="RMAA shop"/>
    <s v="savon nigelle/huile"/>
    <x v="2"/>
    <n v="21"/>
    <n v="1"/>
    <n v="2.4900000000000002"/>
    <m/>
    <m/>
    <n v="4.7619047619047616E-2"/>
    <m/>
  </r>
  <r>
    <x v="8"/>
    <s v="Ben Store"/>
    <s v="casserole/moulinex"/>
    <x v="3"/>
    <n v="16"/>
    <n v="2"/>
    <n v="2.54"/>
    <m/>
    <m/>
    <n v="0.125"/>
    <m/>
  </r>
  <r>
    <x v="8"/>
    <s v="Richma Shop"/>
    <s v="café/Attote"/>
    <x v="4"/>
    <n v="39"/>
    <n v="0"/>
    <n v="2.97"/>
    <m/>
    <m/>
    <n v="0"/>
    <m/>
  </r>
  <r>
    <x v="8"/>
    <s v="Hissanı"/>
    <m/>
    <x v="5"/>
    <n v="0"/>
    <m/>
    <n v="0"/>
    <m/>
    <m/>
    <e v="#DIV/0!"/>
    <m/>
  </r>
  <r>
    <x v="8"/>
    <s v="Asna"/>
    <m/>
    <x v="6"/>
    <n v="0"/>
    <n v="0"/>
    <n v="0"/>
    <m/>
    <m/>
    <e v="#DIV/0!"/>
    <m/>
  </r>
  <r>
    <x v="8"/>
    <s v="Nadjma"/>
    <m/>
    <x v="7"/>
    <n v="0"/>
    <n v="0"/>
    <n v="0"/>
    <m/>
    <m/>
    <e v="#DIV/0!"/>
    <m/>
  </r>
  <r>
    <x v="8"/>
    <s v="Thamarati"/>
    <s v="moulinex robot"/>
    <x v="9"/>
    <n v="17"/>
    <n v="1"/>
    <n v="3.34"/>
    <m/>
    <m/>
    <n v="5.8823529411764705E-2"/>
    <m/>
  </r>
  <r>
    <x v="8"/>
    <s v="Natty"/>
    <s v="parfum a lave/ savon nigelle"/>
    <x v="10"/>
    <n v="26"/>
    <n v="0"/>
    <n v="2.35"/>
    <m/>
    <m/>
    <n v="0"/>
    <m/>
  </r>
  <r>
    <x v="8"/>
    <s v="Zamzam"/>
    <s v="Café longrich"/>
    <x v="11"/>
    <n v="24"/>
    <n v="3"/>
    <n v="2.91"/>
    <m/>
    <m/>
    <n v="0.125"/>
    <m/>
  </r>
  <r>
    <x v="8"/>
    <s v="Mufti"/>
    <s v="Attote"/>
    <x v="8"/>
    <n v="36"/>
    <n v="0"/>
    <n v="3.34"/>
    <m/>
    <m/>
    <n v="0"/>
    <m/>
  </r>
  <r>
    <x v="8"/>
    <s v="Hadidja"/>
    <s v="service/parfum"/>
    <x v="12"/>
    <n v="29"/>
    <n v="2"/>
    <n v="2.4500000000000002"/>
    <m/>
    <m/>
    <n v="6.8965517241379309E-2"/>
    <m/>
  </r>
  <r>
    <x v="8"/>
    <s v="Raina"/>
    <s v="parfum"/>
    <x v="13"/>
    <n v="20"/>
    <n v="0"/>
    <n v="2.63"/>
    <m/>
    <m/>
    <n v="0"/>
    <m/>
  </r>
  <r>
    <x v="9"/>
    <s v="Boutique de Soin"/>
    <s v="Moulinex/moulinex a sec"/>
    <x v="0"/>
    <n v="25"/>
    <n v="0"/>
    <n v="3.39"/>
    <m/>
    <m/>
    <n v="0"/>
    <m/>
  </r>
  <r>
    <x v="9"/>
    <s v="Mustak Market"/>
    <s v="Moulinex/hachoir"/>
    <x v="1"/>
    <m/>
    <n v="0"/>
    <m/>
    <m/>
    <m/>
    <e v="#DIV/0!"/>
    <m/>
  </r>
  <r>
    <x v="9"/>
    <s v="RMAA shop"/>
    <s v="savon nigelle/huile"/>
    <x v="2"/>
    <n v="22"/>
    <n v="0"/>
    <n v="2.71"/>
    <m/>
    <m/>
    <n v="0"/>
    <m/>
  </r>
  <r>
    <x v="9"/>
    <s v="Ben Store"/>
    <s v="casserole/moulinex"/>
    <x v="3"/>
    <n v="11"/>
    <n v="1"/>
    <n v="2.44"/>
    <m/>
    <m/>
    <n v="9.0909090909090912E-2"/>
    <m/>
  </r>
  <r>
    <x v="9"/>
    <s v="Richma Shop"/>
    <s v="café/Attote"/>
    <x v="4"/>
    <m/>
    <n v="2"/>
    <m/>
    <m/>
    <m/>
    <e v="#DIV/0!"/>
    <m/>
  </r>
  <r>
    <x v="9"/>
    <s v="Hissanı"/>
    <m/>
    <x v="5"/>
    <m/>
    <n v="0"/>
    <m/>
    <m/>
    <m/>
    <e v="#DIV/0!"/>
    <m/>
  </r>
  <r>
    <x v="9"/>
    <s v="Asna"/>
    <m/>
    <x v="6"/>
    <m/>
    <n v="0"/>
    <m/>
    <m/>
    <m/>
    <e v="#DIV/0!"/>
    <m/>
  </r>
  <r>
    <x v="9"/>
    <s v="Nadjma"/>
    <m/>
    <x v="7"/>
    <m/>
    <n v="0"/>
    <m/>
    <m/>
    <m/>
    <e v="#DIV/0!"/>
    <m/>
  </r>
  <r>
    <x v="9"/>
    <s v="Thamarati"/>
    <s v="moulinex robot"/>
    <x v="9"/>
    <n v="28"/>
    <n v="1"/>
    <n v="2.66"/>
    <m/>
    <m/>
    <n v="3.5714285714285712E-2"/>
    <m/>
  </r>
  <r>
    <x v="9"/>
    <s v="Natty"/>
    <s v="parfum a lave/ savon nigelle"/>
    <x v="10"/>
    <n v="16"/>
    <n v="3"/>
    <n v="2.12"/>
    <m/>
    <m/>
    <n v="0.1875"/>
    <m/>
  </r>
  <r>
    <x v="9"/>
    <s v="Zamzam"/>
    <s v="Café longrich"/>
    <x v="11"/>
    <n v="11"/>
    <n v="1"/>
    <n v="2.0299999999999998"/>
    <m/>
    <m/>
    <n v="9.0909090909090912E-2"/>
    <m/>
  </r>
  <r>
    <x v="9"/>
    <s v="Mufti"/>
    <s v="Attote"/>
    <x v="8"/>
    <n v="26"/>
    <n v="1"/>
    <n v="2.59"/>
    <m/>
    <m/>
    <n v="3.8461538461538464E-2"/>
    <m/>
  </r>
  <r>
    <x v="9"/>
    <s v="Hadidja"/>
    <s v="service/parfum"/>
    <x v="12"/>
    <n v="14"/>
    <n v="1"/>
    <n v="1.95"/>
    <m/>
    <m/>
    <n v="7.1428571428571425E-2"/>
    <m/>
  </r>
  <r>
    <x v="9"/>
    <s v="Raina"/>
    <s v="parfum"/>
    <x v="13"/>
    <n v="18"/>
    <n v="3"/>
    <n v="2.4300000000000002"/>
    <m/>
    <m/>
    <n v="0.16666666666666666"/>
    <m/>
  </r>
  <r>
    <x v="10"/>
    <s v="Boutique de Soin"/>
    <s v="moulinex robot/hachoir"/>
    <x v="0"/>
    <n v="19"/>
    <n v="2"/>
    <n v="3.24"/>
    <n v="47500"/>
    <n v="4750"/>
    <n v="0.10526315789473684"/>
    <m/>
  </r>
  <r>
    <x v="10"/>
    <s v="RMAA shop"/>
    <s v="hachoir/jel orange"/>
    <x v="2"/>
    <n v="22"/>
    <m/>
    <n v="1.1200000000000001"/>
    <m/>
    <m/>
    <n v="0"/>
    <m/>
  </r>
  <r>
    <x v="10"/>
    <s v="Ben Store"/>
    <s v="creperie/hachoir"/>
    <x v="3"/>
    <n v="29"/>
    <m/>
    <n v="3.83"/>
    <m/>
    <m/>
    <n v="0"/>
    <m/>
  </r>
  <r>
    <x v="10"/>
    <s v="Richma Shop"/>
    <s v="café/Attote"/>
    <x v="4"/>
    <n v="13"/>
    <n v="1"/>
    <n v="2.72"/>
    <n v="20000"/>
    <n v="2000"/>
    <n v="7.6923076923076927E-2"/>
    <m/>
  </r>
  <r>
    <x v="10"/>
    <s v="Thamarati"/>
    <s v="moulinex robot/creperie"/>
    <x v="9"/>
    <n v="12"/>
    <m/>
    <n v="2.85"/>
    <m/>
    <m/>
    <n v="0"/>
    <m/>
  </r>
  <r>
    <x v="10"/>
    <s v="Natty"/>
    <s v="jel orange/ moulinex robot"/>
    <x v="10"/>
    <m/>
    <m/>
    <n v="0.59"/>
    <m/>
    <m/>
    <e v="#DIV/0!"/>
    <m/>
  </r>
  <r>
    <x v="10"/>
    <s v="Zamzam"/>
    <s v="Café longrich/savon au riz"/>
    <x v="11"/>
    <n v="17"/>
    <m/>
    <n v="2.2799999999999998"/>
    <m/>
    <m/>
    <n v="0"/>
    <m/>
  </r>
  <r>
    <x v="10"/>
    <s v="Mufti"/>
    <s v="savon au riz/moulinex"/>
    <x v="8"/>
    <m/>
    <m/>
    <n v="0"/>
    <m/>
    <m/>
    <e v="#DIV/0!"/>
    <m/>
  </r>
  <r>
    <x v="10"/>
    <s v="Hadidja"/>
    <s v="parfum"/>
    <x v="12"/>
    <n v="2"/>
    <n v="2"/>
    <n v="0.85"/>
    <n v="8000"/>
    <n v="2000"/>
    <n v="1"/>
    <m/>
  </r>
  <r>
    <x v="10"/>
    <s v="Raina"/>
    <s v="parfum/savon au riz"/>
    <x v="14"/>
    <m/>
    <m/>
    <n v="0"/>
    <m/>
    <m/>
    <e v="#DIV/0!"/>
    <m/>
  </r>
  <r>
    <x v="10"/>
    <s v="lutfia"/>
    <s v="savon nigelle/riz"/>
    <x v="15"/>
    <n v="22"/>
    <m/>
    <n v="1.34"/>
    <m/>
    <m/>
    <n v="0"/>
    <m/>
  </r>
  <r>
    <x v="10"/>
    <s v="fayrati"/>
    <s v="savon nigelle/riz"/>
    <x v="16"/>
    <n v="11"/>
    <m/>
    <n v="1.36"/>
    <m/>
    <m/>
    <n v="0"/>
    <m/>
  </r>
  <r>
    <x v="10"/>
    <s v="Mariame"/>
    <s v="savon au riz/café"/>
    <x v="17"/>
    <n v="1"/>
    <m/>
    <n v="0.64"/>
    <m/>
    <m/>
    <n v="0"/>
    <m/>
  </r>
  <r>
    <x v="11"/>
    <s v="Boutique de Soin"/>
    <s v="moulinex robot/hachoir"/>
    <x v="0"/>
    <n v="32"/>
    <m/>
    <n v="3.12"/>
    <m/>
    <m/>
    <n v="0"/>
    <m/>
  </r>
  <r>
    <x v="11"/>
    <s v="RMAA shop"/>
    <s v="hachoir/jel orange"/>
    <x v="2"/>
    <n v="47"/>
    <m/>
    <n v="2.09"/>
    <m/>
    <m/>
    <n v="0"/>
    <m/>
  </r>
  <r>
    <x v="11"/>
    <s v="Ben Store"/>
    <s v="creperie/hachoir"/>
    <x v="3"/>
    <n v="25"/>
    <n v="1"/>
    <n v="3.63"/>
    <n v="25000"/>
    <n v="2500"/>
    <n v="0.04"/>
    <m/>
  </r>
  <r>
    <x v="11"/>
    <s v="Richma Shop"/>
    <s v="café/Attote"/>
    <x v="4"/>
    <n v="15"/>
    <m/>
    <n v="2.5"/>
    <m/>
    <m/>
    <n v="0"/>
    <m/>
  </r>
  <r>
    <x v="11"/>
    <s v="Thamarati"/>
    <s v="moulinex robot/creperie"/>
    <x v="9"/>
    <n v="23"/>
    <m/>
    <n v="2.83"/>
    <m/>
    <m/>
    <n v="0"/>
    <m/>
  </r>
  <r>
    <x v="11"/>
    <s v="Natty"/>
    <s v="jel orange/ moulinex robot"/>
    <x v="10"/>
    <n v="66"/>
    <n v="10"/>
    <n v="2.9"/>
    <n v="119500"/>
    <n v="14750"/>
    <n v="0.15151515151515152"/>
    <m/>
  </r>
  <r>
    <x v="11"/>
    <s v="Zamzam"/>
    <s v="Café longrich/savon au riz"/>
    <x v="11"/>
    <n v="38"/>
    <m/>
    <n v="2.13"/>
    <m/>
    <m/>
    <n v="0"/>
    <m/>
  </r>
  <r>
    <x v="11"/>
    <s v="Mufti"/>
    <s v="savon au riz/moulinex"/>
    <x v="8"/>
    <n v="21"/>
    <n v="2"/>
    <n v="2"/>
    <n v="24000"/>
    <n v="3000"/>
    <n v="9.5238095238095233E-2"/>
    <m/>
  </r>
  <r>
    <x v="11"/>
    <s v="Hadidja"/>
    <s v="parfum"/>
    <x v="12"/>
    <n v="13"/>
    <m/>
    <n v="2.5299999999999998"/>
    <m/>
    <m/>
    <n v="0"/>
    <m/>
  </r>
  <r>
    <x v="11"/>
    <s v="Raina"/>
    <s v="parfum/savon au riz"/>
    <x v="14"/>
    <n v="59"/>
    <n v="2"/>
    <n v="1.92"/>
    <n v="6000"/>
    <n v="2000"/>
    <n v="3.3898305084745763E-2"/>
    <m/>
  </r>
  <r>
    <x v="11"/>
    <s v="lutfia"/>
    <s v="savon nigelle/riz"/>
    <x v="15"/>
    <n v="17"/>
    <m/>
    <n v="1.76"/>
    <m/>
    <m/>
    <n v="0"/>
    <m/>
  </r>
  <r>
    <x v="11"/>
    <s v="fayrati"/>
    <s v="savon nigelle/riz"/>
    <x v="16"/>
    <n v="30"/>
    <m/>
    <n v="2.46"/>
    <m/>
    <m/>
    <n v="0"/>
    <m/>
  </r>
  <r>
    <x v="11"/>
    <s v="Mariame"/>
    <s v="savon au riz/café"/>
    <x v="17"/>
    <n v="75"/>
    <n v="1"/>
    <n v="3.12"/>
    <n v="10000"/>
    <n v="1000"/>
    <n v="1.3333333333333334E-2"/>
    <m/>
  </r>
  <r>
    <x v="12"/>
    <s v="Boutique de Soin"/>
    <s v="moulinex robot/hachoir"/>
    <x v="0"/>
    <n v="24"/>
    <n v="2"/>
    <n v="2.62"/>
    <n v="55000"/>
    <n v="5500"/>
    <n v="8.3333333333333329E-2"/>
    <m/>
  </r>
  <r>
    <x v="12"/>
    <s v="RMAA shop"/>
    <s v="hachoir/jel orange"/>
    <x v="2"/>
    <n v="22"/>
    <m/>
    <n v="2.1"/>
    <m/>
    <m/>
    <n v="0"/>
    <m/>
  </r>
  <r>
    <x v="12"/>
    <s v="Ben Store"/>
    <s v="creperie/hachoir"/>
    <x v="3"/>
    <n v="12"/>
    <m/>
    <n v="2.92"/>
    <m/>
    <m/>
    <n v="0"/>
    <m/>
  </r>
  <r>
    <x v="12"/>
    <s v="Richma Shop"/>
    <s v="café/Attote"/>
    <x v="4"/>
    <n v="6"/>
    <n v="2"/>
    <n v="1.57"/>
    <n v="32500"/>
    <n v="3250"/>
    <n v="0.33333333333333331"/>
    <m/>
  </r>
  <r>
    <x v="12"/>
    <s v="Thamarati"/>
    <s v="moulinex robot/creperie"/>
    <x v="9"/>
    <n v="14"/>
    <m/>
    <n v="1.24"/>
    <m/>
    <m/>
    <n v="0"/>
    <m/>
  </r>
  <r>
    <x v="12"/>
    <s v="Natty"/>
    <s v="jel orange/ moulinex robot"/>
    <x v="10"/>
    <n v="11"/>
    <m/>
    <n v="2.46"/>
    <m/>
    <m/>
    <n v="0"/>
    <m/>
  </r>
  <r>
    <x v="12"/>
    <s v="Zamzam"/>
    <s v="Café longrich/savon au riz"/>
    <x v="11"/>
    <n v="10"/>
    <m/>
    <n v="1.28"/>
    <m/>
    <m/>
    <n v="0"/>
    <m/>
  </r>
  <r>
    <x v="12"/>
    <s v="Mufti"/>
    <s v="savon au riz/moulinex"/>
    <x v="8"/>
    <n v="14"/>
    <m/>
    <n v="1.78"/>
    <m/>
    <m/>
    <n v="0"/>
    <m/>
  </r>
  <r>
    <x v="12"/>
    <s v="Hadidja"/>
    <s v="parfum"/>
    <x v="12"/>
    <n v="9"/>
    <n v="2"/>
    <n v="1.5"/>
    <n v="6000"/>
    <n v="2000"/>
    <n v="0.22222222222222221"/>
    <m/>
  </r>
  <r>
    <x v="12"/>
    <s v="Raina"/>
    <s v="parfum/savon au riz"/>
    <x v="14"/>
    <n v="16"/>
    <m/>
    <n v="0.56999999999999995"/>
    <n v="4000"/>
    <n v="1000"/>
    <n v="0"/>
    <m/>
  </r>
  <r>
    <x v="12"/>
    <s v="lutfia"/>
    <s v="savon nigelle/riz"/>
    <x v="15"/>
    <n v="15"/>
    <n v="1"/>
    <n v="1.94"/>
    <n v="4000"/>
    <n v="1000"/>
    <n v="6.6666666666666666E-2"/>
    <m/>
  </r>
  <r>
    <x v="12"/>
    <s v="fayrati"/>
    <s v="savon nigelle/riz"/>
    <x v="16"/>
    <n v="14"/>
    <m/>
    <n v="1.8"/>
    <m/>
    <m/>
    <n v="0"/>
    <m/>
  </r>
  <r>
    <x v="12"/>
    <s v="Mariame"/>
    <s v="savon au riz/café"/>
    <x v="17"/>
    <n v="22"/>
    <n v="2"/>
    <n v="0.99"/>
    <n v="14000"/>
    <n v="2000"/>
    <n v="9.0909090909090912E-2"/>
    <m/>
  </r>
  <r>
    <x v="13"/>
    <s v="Boutique de Soin"/>
    <s v="moulinex robot/hachoir"/>
    <x v="0"/>
    <n v="13"/>
    <n v="2"/>
    <n v="2.62"/>
    <n v="50000"/>
    <n v="5000"/>
    <n v="0.15384615384615385"/>
    <m/>
  </r>
  <r>
    <x v="13"/>
    <s v="RMAA shop"/>
    <s v="hachoir/jel orange"/>
    <x v="2"/>
    <n v="7"/>
    <m/>
    <n v="1.43"/>
    <m/>
    <m/>
    <n v="0"/>
    <m/>
  </r>
  <r>
    <x v="13"/>
    <s v="Ben Store"/>
    <s v="creperie/hachoir"/>
    <x v="3"/>
    <n v="7"/>
    <n v="1"/>
    <n v="1.41"/>
    <n v="20000"/>
    <n v="2000"/>
    <n v="0.14285714285714285"/>
    <m/>
  </r>
  <r>
    <x v="13"/>
    <s v="Richma Shop"/>
    <s v="café/Attote"/>
    <x v="4"/>
    <n v="9"/>
    <n v="1"/>
    <n v="1.79"/>
    <n v="12500"/>
    <n v="1250"/>
    <n v="0.1111111111111111"/>
    <m/>
  </r>
  <r>
    <x v="13"/>
    <s v="Thamarati"/>
    <s v="moulinex robot/creperie"/>
    <x v="9"/>
    <n v="9"/>
    <n v="1"/>
    <n v="1.6"/>
    <n v="22500"/>
    <n v="2250"/>
    <n v="0.1111111111111111"/>
    <m/>
  </r>
  <r>
    <x v="13"/>
    <s v="Natty"/>
    <s v="jel orange/ moulinex robot"/>
    <x v="10"/>
    <n v="23"/>
    <m/>
    <n v="2.2999999999999998"/>
    <m/>
    <m/>
    <n v="0"/>
    <m/>
  </r>
  <r>
    <x v="13"/>
    <s v="Zamzam"/>
    <s v="Café longrich/savon au riz"/>
    <x v="11"/>
    <n v="12"/>
    <n v="4"/>
    <n v="2.4"/>
    <n v="24500"/>
    <n v="5000"/>
    <n v="0.33333333333333331"/>
    <m/>
  </r>
  <r>
    <x v="13"/>
    <s v="Mufti"/>
    <s v="savon au riz/moulinex"/>
    <x v="8"/>
    <n v="13"/>
    <m/>
    <n v="1.65"/>
    <m/>
    <m/>
    <n v="0"/>
    <m/>
  </r>
  <r>
    <x v="13"/>
    <s v="Hadidja"/>
    <s v="parfum"/>
    <x v="12"/>
    <n v="7"/>
    <m/>
    <n v="1.93"/>
    <m/>
    <m/>
    <n v="0"/>
    <m/>
  </r>
  <r>
    <x v="13"/>
    <s v="Raina"/>
    <s v="parfum/savon au riz"/>
    <x v="14"/>
    <n v="31"/>
    <n v="2"/>
    <n v="3.81"/>
    <n v="6000"/>
    <n v="2000"/>
    <n v="6.4516129032258063E-2"/>
    <m/>
  </r>
  <r>
    <x v="13"/>
    <s v="lutfia"/>
    <s v="savon nigelle/riz"/>
    <x v="15"/>
    <n v="22"/>
    <n v="3"/>
    <n v="1.9"/>
    <n v="12000"/>
    <n v="3000"/>
    <n v="0.13636363636363635"/>
    <m/>
  </r>
  <r>
    <x v="13"/>
    <s v="fayrati"/>
    <s v="savon nigelle/riz"/>
    <x v="16"/>
    <n v="11"/>
    <n v="1"/>
    <n v="1.65"/>
    <n v="4000"/>
    <n v="1000"/>
    <n v="9.0909090909090912E-2"/>
    <m/>
  </r>
  <r>
    <x v="13"/>
    <s v="Mariame"/>
    <s v="savon au riz/café"/>
    <x v="17"/>
    <n v="25"/>
    <n v="2"/>
    <n v="0.93"/>
    <n v="14000"/>
    <n v="2000"/>
    <n v="0.08"/>
    <m/>
  </r>
  <r>
    <x v="14"/>
    <s v="Boutique de Soin"/>
    <s v="moulinex robot/hachoir"/>
    <x v="0"/>
    <n v="9"/>
    <n v="0"/>
    <n v="1.94"/>
    <m/>
    <m/>
    <n v="0"/>
    <m/>
  </r>
  <r>
    <x v="14"/>
    <s v="RMAA shop"/>
    <s v="hachoir/jel orange"/>
    <x v="2"/>
    <n v="14"/>
    <n v="1"/>
    <n v="2.63"/>
    <n v="30000"/>
    <n v="3000"/>
    <n v="7.1428571428571425E-2"/>
    <m/>
  </r>
  <r>
    <x v="14"/>
    <s v="Ben Store"/>
    <s v="creperie/hachoir"/>
    <x v="3"/>
    <n v="14"/>
    <m/>
    <n v="2.2000000000000002"/>
    <m/>
    <m/>
    <n v="0"/>
    <m/>
  </r>
  <r>
    <x v="14"/>
    <s v="Richma Shop"/>
    <s v="café/Attote"/>
    <x v="4"/>
    <n v="4"/>
    <m/>
    <n v="0.86"/>
    <m/>
    <m/>
    <n v="0"/>
    <m/>
  </r>
  <r>
    <x v="14"/>
    <s v="Thamarati"/>
    <s v="moulinex robot/creperie"/>
    <x v="9"/>
    <n v="6"/>
    <m/>
    <n v="0.93"/>
    <m/>
    <m/>
    <n v="0"/>
    <m/>
  </r>
  <r>
    <x v="14"/>
    <s v="Natty"/>
    <s v="jel orange/ moulinex robot"/>
    <x v="10"/>
    <n v="13"/>
    <n v="2"/>
    <n v="1.44"/>
    <n v="37500"/>
    <n v="3750"/>
    <n v="0.15384615384615385"/>
    <m/>
  </r>
  <r>
    <x v="14"/>
    <s v="Zamzam"/>
    <s v="Café longrich/savon au riz"/>
    <x v="11"/>
    <n v="7"/>
    <m/>
    <n v="1"/>
    <m/>
    <m/>
    <n v="0"/>
    <m/>
  </r>
  <r>
    <x v="14"/>
    <s v="Mufti"/>
    <s v="savon au riz/moulinex"/>
    <x v="8"/>
    <n v="7"/>
    <m/>
    <n v="1.49"/>
    <m/>
    <m/>
    <n v="0"/>
    <m/>
  </r>
  <r>
    <x v="14"/>
    <s v="Hadidja"/>
    <s v="parfum"/>
    <x v="12"/>
    <n v="3"/>
    <n v="4"/>
    <n v="0.63"/>
    <n v="13000"/>
    <n v="4000"/>
    <n v="1.3333333333333333"/>
    <m/>
  </r>
  <r>
    <x v="14"/>
    <s v="Raina"/>
    <s v="parfum/savon au riz"/>
    <x v="14"/>
    <n v="30"/>
    <n v="4"/>
    <n v="1.0900000000000001"/>
    <n v="22500"/>
    <n v="4250"/>
    <n v="0.13333333333333333"/>
    <m/>
  </r>
  <r>
    <x v="14"/>
    <s v="lutfia"/>
    <s v="savon nigelle/riz"/>
    <x v="15"/>
    <n v="12"/>
    <n v="2"/>
    <n v="0.73"/>
    <n v="8000"/>
    <n v="2000"/>
    <n v="0.16666666666666666"/>
    <m/>
  </r>
  <r>
    <x v="14"/>
    <s v="fayrati"/>
    <s v="savon nigelle/riz"/>
    <x v="16"/>
    <n v="4"/>
    <m/>
    <n v="0.76"/>
    <m/>
    <m/>
    <n v="0"/>
    <m/>
  </r>
  <r>
    <x v="14"/>
    <s v="Mariame"/>
    <s v="savon au riz/café"/>
    <x v="17"/>
    <n v="0"/>
    <m/>
    <n v="0"/>
    <m/>
    <m/>
    <e v="#DIV/0!"/>
    <m/>
  </r>
  <r>
    <x v="15"/>
    <s v="Boutique de Soin"/>
    <s v="moulinex robot/hachoir"/>
    <x v="0"/>
    <n v="3"/>
    <m/>
    <n v="0.55000000000000004"/>
    <m/>
    <m/>
    <n v="0"/>
    <m/>
  </r>
  <r>
    <x v="15"/>
    <s v="RMAA shop"/>
    <s v="hachoir/jel orange"/>
    <x v="2"/>
    <n v="12"/>
    <m/>
    <n v="1.87"/>
    <m/>
    <m/>
    <n v="0"/>
    <m/>
  </r>
  <r>
    <x v="15"/>
    <s v="Ben Store"/>
    <s v="creperie/hachoir"/>
    <x v="3"/>
    <n v="1"/>
    <m/>
    <n v="0.75"/>
    <m/>
    <m/>
    <n v="0"/>
    <m/>
  </r>
  <r>
    <x v="15"/>
    <s v="Richma Shop"/>
    <s v="café/Attote"/>
    <x v="4"/>
    <n v="1"/>
    <m/>
    <n v="0.5"/>
    <m/>
    <m/>
    <n v="0"/>
    <m/>
  </r>
  <r>
    <x v="15"/>
    <s v="Thamarati"/>
    <s v="moulinex robot/creperie"/>
    <x v="9"/>
    <n v="9"/>
    <m/>
    <n v="1.1399999999999999"/>
    <m/>
    <m/>
    <n v="0"/>
    <m/>
  </r>
  <r>
    <x v="15"/>
    <s v="Natty"/>
    <s v="jel orange/ moulinex robot"/>
    <x v="10"/>
    <n v="11"/>
    <m/>
    <n v="1.74"/>
    <m/>
    <m/>
    <n v="0"/>
    <m/>
  </r>
  <r>
    <x v="15"/>
    <s v="Zamzam"/>
    <s v="Café longrich/savon au riz"/>
    <x v="11"/>
    <n v="8"/>
    <m/>
    <n v="1.27"/>
    <m/>
    <m/>
    <n v="0"/>
    <m/>
  </r>
  <r>
    <x v="15"/>
    <s v="Mufti"/>
    <s v="savon au riz/moulinex"/>
    <x v="8"/>
    <n v="30"/>
    <m/>
    <n v="1.77"/>
    <m/>
    <m/>
    <n v="0"/>
    <m/>
  </r>
  <r>
    <x v="15"/>
    <s v="Hadidja"/>
    <s v="parfum"/>
    <x v="12"/>
    <n v="13"/>
    <m/>
    <n v="1.36"/>
    <m/>
    <m/>
    <n v="0"/>
    <m/>
  </r>
  <r>
    <x v="15"/>
    <s v="Raina"/>
    <s v="parfum/savon au riz"/>
    <x v="14"/>
    <n v="53"/>
    <m/>
    <n v="1.66"/>
    <m/>
    <m/>
    <n v="0"/>
    <m/>
  </r>
  <r>
    <x v="15"/>
    <s v="lutfia"/>
    <s v="savon nigelle/riz"/>
    <x v="15"/>
    <n v="5"/>
    <m/>
    <n v="1.05"/>
    <m/>
    <m/>
    <n v="0"/>
    <m/>
  </r>
  <r>
    <x v="15"/>
    <s v="fayrati"/>
    <s v="savon nigelle/riz"/>
    <x v="16"/>
    <n v="10"/>
    <m/>
    <n v="1.06"/>
    <m/>
    <m/>
    <n v="0"/>
    <m/>
  </r>
  <r>
    <x v="15"/>
    <s v="Mariame"/>
    <s v="savon au riz/café"/>
    <x v="17"/>
    <n v="57"/>
    <m/>
    <n v="2.09"/>
    <m/>
    <m/>
    <n v="0"/>
    <m/>
  </r>
  <r>
    <x v="16"/>
    <s v="Boutique de Soin"/>
    <s v="moulinex robot/hachoir"/>
    <x v="0"/>
    <n v="50"/>
    <m/>
    <n v="4.42"/>
    <m/>
    <m/>
    <n v="0"/>
    <m/>
  </r>
  <r>
    <x v="16"/>
    <s v="RMAA shop"/>
    <s v="hachoir/jel orange"/>
    <x v="2"/>
    <n v="16"/>
    <n v="1"/>
    <n v="2.89"/>
    <n v="12500"/>
    <n v="3000"/>
    <n v="6.25E-2"/>
    <m/>
  </r>
  <r>
    <x v="16"/>
    <s v="Ben Store"/>
    <s v="creperie/hachoir"/>
    <x v="3"/>
    <n v="32"/>
    <n v="1"/>
    <n v="5.0599999999999996"/>
    <n v="12500"/>
    <n v="1250"/>
    <n v="3.125E-2"/>
    <m/>
  </r>
  <r>
    <x v="16"/>
    <s v="Richma Shop"/>
    <s v="café/Attote"/>
    <x v="4"/>
    <n v="10"/>
    <n v="2"/>
    <n v="2.5"/>
    <n v="25000"/>
    <n v="2500"/>
    <n v="0.2"/>
    <m/>
  </r>
  <r>
    <x v="16"/>
    <s v="Thamarati"/>
    <s v="moulinex robot/creperie"/>
    <x v="9"/>
    <n v="2"/>
    <m/>
    <n v="0.36"/>
    <m/>
    <m/>
    <n v="0"/>
    <m/>
  </r>
  <r>
    <x v="16"/>
    <s v="Natty"/>
    <s v="jel orange/ moulinex robot"/>
    <x v="10"/>
    <n v="8"/>
    <n v="4"/>
    <n v="3.03"/>
    <n v="91500"/>
    <m/>
    <n v="0.5"/>
    <m/>
  </r>
  <r>
    <x v="16"/>
    <s v="Zamzam"/>
    <s v="Café longrich/savon au riz"/>
    <x v="11"/>
    <n v="13"/>
    <n v="2"/>
    <n v="2.67"/>
    <n v="16500"/>
    <m/>
    <n v="0.15384615384615385"/>
    <m/>
  </r>
  <r>
    <x v="16"/>
    <s v="Mufti"/>
    <s v="savon au riz/moulinex"/>
    <x v="8"/>
    <n v="12"/>
    <n v="1"/>
    <n v="1.89"/>
    <n v="20000"/>
    <n v="2000"/>
    <n v="8.3333333333333329E-2"/>
    <m/>
  </r>
  <r>
    <x v="16"/>
    <s v="Hadidja"/>
    <s v="parfum"/>
    <x v="12"/>
    <n v="6"/>
    <n v="4"/>
    <n v="1.71"/>
    <n v="13000"/>
    <n v="4000"/>
    <n v="0.66666666666666663"/>
    <m/>
  </r>
  <r>
    <x v="16"/>
    <s v="Raina"/>
    <s v="parfum/savon au riz"/>
    <x v="14"/>
    <n v="25"/>
    <n v="4"/>
    <n v="2.5099999999999998"/>
    <n v="40500"/>
    <n v="4750"/>
    <n v="0.16"/>
    <m/>
  </r>
  <r>
    <x v="16"/>
    <s v="lutfia"/>
    <s v="savon nigelle/riz"/>
    <x v="15"/>
    <n v="20"/>
    <n v="3"/>
    <n v="2.36"/>
    <n v="12000"/>
    <n v="3000"/>
    <n v="0.15"/>
    <m/>
  </r>
  <r>
    <x v="16"/>
    <s v="fayrati"/>
    <s v="savon nigelle/riz"/>
    <x v="16"/>
    <n v="16"/>
    <n v="1"/>
    <n v="2.25"/>
    <n v="4000"/>
    <n v="1000"/>
    <n v="6.25E-2"/>
    <m/>
  </r>
  <r>
    <x v="16"/>
    <s v="Mariame"/>
    <s v="savon au riz/café"/>
    <x v="17"/>
    <n v="31"/>
    <n v="2"/>
    <n v="1.63"/>
    <n v="25000"/>
    <n v="2500"/>
    <n v="6.4516129032258063E-2"/>
    <m/>
  </r>
  <r>
    <x v="17"/>
    <s v="Boutique de Soin"/>
    <s v="moulinex robot/hachoir"/>
    <x v="0"/>
    <n v="32"/>
    <n v="2"/>
    <n v="1.7"/>
    <n v="25000"/>
    <n v="2500"/>
    <n v="6.25E-2"/>
    <m/>
  </r>
  <r>
    <x v="17"/>
    <s v="RMAA shop"/>
    <s v="hachoir/jel orange"/>
    <x v="2"/>
    <n v="8"/>
    <m/>
    <n v="0.83"/>
    <m/>
    <m/>
    <n v="0"/>
    <m/>
  </r>
  <r>
    <x v="17"/>
    <s v="Ben Store"/>
    <s v="creperie/hachoir"/>
    <x v="3"/>
    <n v="21"/>
    <n v="2"/>
    <n v="3.95"/>
    <n v="8000"/>
    <n v="2000"/>
    <n v="9.5238095238095233E-2"/>
    <m/>
  </r>
  <r>
    <x v="17"/>
    <s v="Richma Shop"/>
    <s v="café/Attote"/>
    <x v="4"/>
    <n v="8"/>
    <n v="3"/>
    <n v="2.39"/>
    <n v="37500"/>
    <n v="4250"/>
    <n v="0.375"/>
    <m/>
  </r>
  <r>
    <x v="17"/>
    <s v="Thamarati"/>
    <s v="moulinex robot/creperie"/>
    <x v="9"/>
    <n v="0"/>
    <m/>
    <n v="0"/>
    <m/>
    <m/>
    <e v="#DIV/0!"/>
    <m/>
  </r>
  <r>
    <x v="17"/>
    <s v="Natty"/>
    <s v="jel orange/ moulinex robot"/>
    <x v="10"/>
    <n v="15"/>
    <m/>
    <n v="3.47"/>
    <m/>
    <m/>
    <n v="0"/>
    <m/>
  </r>
  <r>
    <x v="17"/>
    <s v="Zamzam"/>
    <s v="Café longrich/savon au riz"/>
    <x v="11"/>
    <n v="17"/>
    <m/>
    <n v="3.64"/>
    <m/>
    <m/>
    <n v="0"/>
    <m/>
  </r>
  <r>
    <x v="17"/>
    <s v="Mufti"/>
    <s v="savon au riz/moulinex"/>
    <x v="8"/>
    <n v="17"/>
    <n v="3"/>
    <n v="2.74"/>
    <n v="20500"/>
    <n v="3250"/>
    <n v="0.17647058823529413"/>
    <m/>
  </r>
  <r>
    <x v="17"/>
    <s v="Hadidja"/>
    <s v="parfum"/>
    <x v="12"/>
    <n v="10"/>
    <n v="1"/>
    <n v="2.72"/>
    <n v="4000"/>
    <n v="1000"/>
    <n v="0.1"/>
    <m/>
  </r>
  <r>
    <x v="17"/>
    <s v="Raina"/>
    <s v="parfum/savon au riz"/>
    <x v="14"/>
    <n v="38"/>
    <n v="2"/>
    <n v="2.2000000000000002"/>
    <n v="16500"/>
    <n v="2250"/>
    <n v="5.2631578947368418E-2"/>
    <m/>
  </r>
  <r>
    <x v="17"/>
    <s v="lutfia"/>
    <s v="savon nigelle/riz"/>
    <x v="15"/>
    <n v="16"/>
    <n v="1"/>
    <n v="2.67"/>
    <n v="4000"/>
    <n v="1000"/>
    <n v="6.25E-2"/>
    <m/>
  </r>
  <r>
    <x v="17"/>
    <s v="fayrati"/>
    <s v="savon nigelle/riz"/>
    <x v="16"/>
    <n v="13"/>
    <n v="2"/>
    <n v="2.62"/>
    <n v="16500"/>
    <n v="2250"/>
    <n v="0.15384615384615385"/>
    <m/>
  </r>
  <r>
    <x v="17"/>
    <s v="Mariame"/>
    <s v="savon au riz/café"/>
    <x v="17"/>
    <n v="8"/>
    <m/>
    <n v="0.66"/>
    <m/>
    <m/>
    <n v="0"/>
    <m/>
  </r>
  <r>
    <x v="18"/>
    <s v="Boutique de Soin"/>
    <s v="moulinex robot/hachoir"/>
    <x v="0"/>
    <n v="0"/>
    <m/>
    <n v="3.0000000000000001E-3"/>
    <m/>
    <m/>
    <e v="#DIV/0!"/>
    <m/>
  </r>
  <r>
    <x v="18"/>
    <s v="RMAA shop"/>
    <s v="hachoir/jel orange"/>
    <x v="2"/>
    <n v="1"/>
    <m/>
    <n v="0"/>
    <m/>
    <m/>
    <n v="0"/>
    <m/>
  </r>
  <r>
    <x v="18"/>
    <s v="Ben Store"/>
    <s v="creperie/hachoir"/>
    <x v="3"/>
    <n v="5"/>
    <n v="1"/>
    <n v="0.26"/>
    <n v="4000"/>
    <n v="1000"/>
    <n v="0.2"/>
    <m/>
  </r>
  <r>
    <x v="18"/>
    <s v="Richma Shop"/>
    <s v="café/Attote"/>
    <x v="4"/>
    <n v="1"/>
    <n v="2"/>
    <n v="0.48"/>
    <n v="25000"/>
    <n v="2500"/>
    <n v="2"/>
    <m/>
  </r>
  <r>
    <x v="18"/>
    <s v="Thamarati"/>
    <s v="moulinex robot/creperie"/>
    <x v="9"/>
    <n v="0"/>
    <m/>
    <n v="0"/>
    <m/>
    <m/>
    <e v="#DIV/0!"/>
    <m/>
  </r>
  <r>
    <x v="18"/>
    <s v="Natty"/>
    <s v="jel orange/ moulinex robot"/>
    <x v="10"/>
    <n v="2"/>
    <m/>
    <n v="0.12"/>
    <m/>
    <m/>
    <n v="0"/>
    <m/>
  </r>
  <r>
    <x v="18"/>
    <s v="Zamzam"/>
    <s v="Café longrich/savon au riz"/>
    <x v="11"/>
    <n v="4"/>
    <m/>
    <n v="0.84"/>
    <m/>
    <m/>
    <n v="0"/>
    <m/>
  </r>
  <r>
    <x v="18"/>
    <s v="Mufti"/>
    <s v="savon au riz/moulinex"/>
    <x v="8"/>
    <n v="4"/>
    <n v="1"/>
    <n v="0.23"/>
    <n v="4000"/>
    <n v="1000"/>
    <n v="0.25"/>
    <m/>
  </r>
  <r>
    <x v="18"/>
    <s v="Hadidja"/>
    <s v="parfum"/>
    <x v="12"/>
    <n v="7"/>
    <m/>
    <n v="0.41"/>
    <m/>
    <m/>
    <n v="0"/>
    <m/>
  </r>
  <r>
    <x v="18"/>
    <s v="Raina"/>
    <s v="parfum/savon au riz"/>
    <x v="14"/>
    <n v="1"/>
    <m/>
    <n v="0"/>
    <m/>
    <m/>
    <n v="0"/>
    <m/>
  </r>
  <r>
    <x v="18"/>
    <s v="lutfia"/>
    <s v="savon nigelle/riz"/>
    <x v="15"/>
    <n v="2"/>
    <n v="5"/>
    <n v="0.21"/>
    <n v="20000"/>
    <n v="5000"/>
    <n v="2.5"/>
    <m/>
  </r>
  <r>
    <x v="18"/>
    <s v="fayrati"/>
    <s v="savon nigelle/riz"/>
    <x v="16"/>
    <n v="4"/>
    <m/>
    <n v="0.2"/>
    <m/>
    <m/>
    <n v="0"/>
    <m/>
  </r>
  <r>
    <x v="18"/>
    <s v="Mariame"/>
    <s v="savon au riz/café"/>
    <x v="17"/>
    <n v="0"/>
    <m/>
    <n v="0"/>
    <m/>
    <m/>
    <e v="#DIV/0!"/>
    <m/>
  </r>
  <r>
    <x v="19"/>
    <s v="Boutique de Soin"/>
    <s v="moulinex robot/hachoir"/>
    <x v="0"/>
    <n v="2"/>
    <m/>
    <n v="0"/>
    <m/>
    <m/>
    <n v="0"/>
    <m/>
  </r>
  <r>
    <x v="19"/>
    <s v="RMAA shop"/>
    <s v="hachoir/jel orange"/>
    <x v="2"/>
    <n v="1"/>
    <m/>
    <n v="0"/>
    <m/>
    <m/>
    <n v="0"/>
    <m/>
  </r>
  <r>
    <x v="19"/>
    <s v="Ben Store"/>
    <s v="creperie/hachoir"/>
    <x v="3"/>
    <n v="0"/>
    <m/>
    <n v="0"/>
    <m/>
    <m/>
    <e v="#DIV/0!"/>
    <m/>
  </r>
  <r>
    <x v="19"/>
    <s v="Richma Shop"/>
    <s v="café/Attote"/>
    <x v="4"/>
    <n v="0"/>
    <m/>
    <n v="0"/>
    <m/>
    <m/>
    <e v="#DIV/0!"/>
    <m/>
  </r>
  <r>
    <x v="19"/>
    <s v="Thamarati"/>
    <s v="moulinex robot/creperie"/>
    <x v="9"/>
    <n v="0"/>
    <m/>
    <n v="0"/>
    <m/>
    <m/>
    <e v="#DIV/0!"/>
    <m/>
  </r>
  <r>
    <x v="19"/>
    <s v="Natty"/>
    <s v="jel orange/ moulinex robot"/>
    <x v="10"/>
    <n v="1"/>
    <m/>
    <n v="0"/>
    <m/>
    <m/>
    <n v="0"/>
    <m/>
  </r>
  <r>
    <x v="19"/>
    <s v="Zamzam"/>
    <s v="Café longrich/savon au riz"/>
    <x v="11"/>
    <n v="0"/>
    <m/>
    <n v="0"/>
    <m/>
    <m/>
    <e v="#DIV/0!"/>
    <m/>
  </r>
  <r>
    <x v="19"/>
    <s v="Mufti"/>
    <s v="savon au riz/moulinex"/>
    <x v="8"/>
    <n v="0"/>
    <m/>
    <n v="0"/>
    <m/>
    <m/>
    <e v="#DIV/0!"/>
    <m/>
  </r>
  <r>
    <x v="19"/>
    <s v="Hadidja"/>
    <s v="parfum"/>
    <x v="12"/>
    <n v="0"/>
    <m/>
    <n v="0"/>
    <m/>
    <m/>
    <e v="#DIV/0!"/>
    <m/>
  </r>
  <r>
    <x v="19"/>
    <s v="Raina"/>
    <s v="parfum/savon au riz"/>
    <x v="14"/>
    <n v="0"/>
    <m/>
    <n v="0"/>
    <m/>
    <m/>
    <e v="#DIV/0!"/>
    <m/>
  </r>
  <r>
    <x v="19"/>
    <s v="lutfia"/>
    <s v="savon nigelle/riz"/>
    <x v="15"/>
    <n v="2"/>
    <m/>
    <n v="0"/>
    <m/>
    <m/>
    <n v="0"/>
    <m/>
  </r>
  <r>
    <x v="19"/>
    <s v="fayrati"/>
    <s v="savon nigelle/riz"/>
    <x v="16"/>
    <n v="0"/>
    <m/>
    <n v="0"/>
    <m/>
    <m/>
    <e v="#DIV/0!"/>
    <m/>
  </r>
  <r>
    <x v="19"/>
    <s v="Mariame"/>
    <s v="savon au riz/café"/>
    <x v="17"/>
    <n v="0"/>
    <m/>
    <n v="0"/>
    <m/>
    <m/>
    <e v="#DIV/0!"/>
    <m/>
  </r>
  <r>
    <x v="20"/>
    <s v="Boutique de Soin"/>
    <s v="moulinex robot/hachoir"/>
    <x v="0"/>
    <n v="0"/>
    <m/>
    <n v="0"/>
    <m/>
    <m/>
    <e v="#DIV/0!"/>
    <m/>
  </r>
  <r>
    <x v="20"/>
    <s v="RMAA shop"/>
    <s v="hachoir/jel orange"/>
    <x v="2"/>
    <n v="0"/>
    <m/>
    <n v="0"/>
    <m/>
    <m/>
    <e v="#DIV/0!"/>
    <m/>
  </r>
  <r>
    <x v="20"/>
    <s v="Ben Store"/>
    <s v="creperie/hachoir"/>
    <x v="3"/>
    <n v="0"/>
    <m/>
    <n v="0"/>
    <m/>
    <m/>
    <e v="#DIV/0!"/>
    <m/>
  </r>
  <r>
    <x v="20"/>
    <s v="Richma Shop"/>
    <s v="café/Attote"/>
    <x v="4"/>
    <n v="0"/>
    <m/>
    <n v="0"/>
    <m/>
    <m/>
    <e v="#DIV/0!"/>
    <m/>
  </r>
  <r>
    <x v="20"/>
    <s v="Thamarati"/>
    <s v="moulinex robot/creperie"/>
    <x v="9"/>
    <n v="0"/>
    <m/>
    <n v="0"/>
    <m/>
    <m/>
    <e v="#DIV/0!"/>
    <m/>
  </r>
  <r>
    <x v="20"/>
    <s v="Natty"/>
    <s v="jel orange/ moulinex robot"/>
    <x v="10"/>
    <n v="0"/>
    <m/>
    <n v="0"/>
    <m/>
    <m/>
    <e v="#DIV/0!"/>
    <m/>
  </r>
  <r>
    <x v="20"/>
    <s v="Zamzam"/>
    <s v="Café longrich/savon au riz"/>
    <x v="11"/>
    <n v="0"/>
    <m/>
    <n v="0"/>
    <m/>
    <m/>
    <e v="#DIV/0!"/>
    <m/>
  </r>
  <r>
    <x v="20"/>
    <s v="Mufti"/>
    <s v="savon au riz/moulinex"/>
    <x v="8"/>
    <n v="0"/>
    <m/>
    <n v="0"/>
    <m/>
    <m/>
    <e v="#DIV/0!"/>
    <m/>
  </r>
  <r>
    <x v="20"/>
    <s v="Hadidja"/>
    <s v="parfum"/>
    <x v="12"/>
    <n v="0"/>
    <m/>
    <n v="0"/>
    <m/>
    <m/>
    <e v="#DIV/0!"/>
    <m/>
  </r>
  <r>
    <x v="20"/>
    <s v="Raina"/>
    <s v="parfum/savon au riz"/>
    <x v="14"/>
    <n v="0"/>
    <m/>
    <n v="0"/>
    <m/>
    <m/>
    <e v="#DIV/0!"/>
    <m/>
  </r>
  <r>
    <x v="20"/>
    <s v="lutfia"/>
    <s v="savon nigelle/riz"/>
    <x v="15"/>
    <n v="0"/>
    <m/>
    <n v="0"/>
    <m/>
    <m/>
    <e v="#DIV/0!"/>
    <m/>
  </r>
  <r>
    <x v="20"/>
    <s v="fayrati"/>
    <s v="savon nigelle/riz"/>
    <x v="16"/>
    <n v="0"/>
    <m/>
    <n v="0"/>
    <m/>
    <m/>
    <e v="#DIV/0!"/>
    <m/>
  </r>
  <r>
    <x v="20"/>
    <s v="Mariame"/>
    <s v="savon au riz/café"/>
    <x v="17"/>
    <n v="0"/>
    <m/>
    <n v="0"/>
    <m/>
    <m/>
    <e v="#DIV/0!"/>
    <m/>
  </r>
  <r>
    <x v="21"/>
    <s v="Boutique de Soin"/>
    <s v="moulinex robot/hachoir"/>
    <x v="0"/>
    <n v="0"/>
    <m/>
    <n v="0"/>
    <m/>
    <m/>
    <e v="#DIV/0!"/>
    <m/>
  </r>
  <r>
    <x v="21"/>
    <s v="RMAA shop"/>
    <s v="hachoir/jel orange"/>
    <x v="2"/>
    <n v="0"/>
    <m/>
    <n v="0"/>
    <m/>
    <m/>
    <e v="#DIV/0!"/>
    <m/>
  </r>
  <r>
    <x v="21"/>
    <s v="Ben Store"/>
    <s v="creperie/hachoir"/>
    <x v="3"/>
    <n v="0"/>
    <m/>
    <n v="0"/>
    <m/>
    <m/>
    <e v="#DIV/0!"/>
    <m/>
  </r>
  <r>
    <x v="21"/>
    <s v="Richma Shop"/>
    <s v="café/Attote"/>
    <x v="4"/>
    <n v="0"/>
    <m/>
    <n v="0"/>
    <m/>
    <m/>
    <e v="#DIV/0!"/>
    <m/>
  </r>
  <r>
    <x v="21"/>
    <s v="Thamarati"/>
    <s v="moulinex robot/creperie"/>
    <x v="9"/>
    <n v="0"/>
    <m/>
    <n v="0"/>
    <m/>
    <m/>
    <e v="#DIV/0!"/>
    <m/>
  </r>
  <r>
    <x v="21"/>
    <s v="Natty"/>
    <s v="jel orange/ moulinex robot"/>
    <x v="10"/>
    <n v="0"/>
    <m/>
    <n v="0"/>
    <m/>
    <m/>
    <e v="#DIV/0!"/>
    <m/>
  </r>
  <r>
    <x v="21"/>
    <s v="Zamzam"/>
    <s v="Café longrich/savon au riz"/>
    <x v="11"/>
    <n v="0"/>
    <m/>
    <n v="0"/>
    <m/>
    <m/>
    <e v="#DIV/0!"/>
    <m/>
  </r>
  <r>
    <x v="21"/>
    <s v="Mufti"/>
    <s v="savon au riz/moulinex"/>
    <x v="8"/>
    <n v="0"/>
    <m/>
    <n v="0"/>
    <m/>
    <m/>
    <e v="#DIV/0!"/>
    <m/>
  </r>
  <r>
    <x v="21"/>
    <s v="Hadidja"/>
    <s v="parfum"/>
    <x v="12"/>
    <n v="0"/>
    <m/>
    <n v="0"/>
    <m/>
    <m/>
    <e v="#DIV/0!"/>
    <m/>
  </r>
  <r>
    <x v="21"/>
    <s v="Raina"/>
    <s v="parfum/savon au riz"/>
    <x v="14"/>
    <n v="0"/>
    <m/>
    <n v="0"/>
    <m/>
    <m/>
    <e v="#DIV/0!"/>
    <m/>
  </r>
  <r>
    <x v="21"/>
    <s v="lutfia"/>
    <s v="savon nigelle/riz"/>
    <x v="15"/>
    <n v="0"/>
    <m/>
    <n v="0"/>
    <m/>
    <m/>
    <e v="#DIV/0!"/>
    <m/>
  </r>
  <r>
    <x v="21"/>
    <s v="fayrati"/>
    <s v="savon nigelle/riz"/>
    <x v="16"/>
    <n v="0"/>
    <m/>
    <n v="0"/>
    <m/>
    <m/>
    <e v="#DIV/0!"/>
    <m/>
  </r>
  <r>
    <x v="21"/>
    <s v="Mariame"/>
    <s v="savon au riz/café"/>
    <x v="17"/>
    <n v="0"/>
    <m/>
    <n v="0"/>
    <m/>
    <m/>
    <e v="#DIV/0!"/>
    <m/>
  </r>
  <r>
    <x v="22"/>
    <s v="Boutique de Soin"/>
    <s v="moulinex robot/hachoir"/>
    <x v="0"/>
    <n v="0"/>
    <m/>
    <n v="0"/>
    <m/>
    <m/>
    <e v="#DIV/0!"/>
    <m/>
  </r>
  <r>
    <x v="22"/>
    <s v="RMAA shop"/>
    <s v="hachoir/jel orange"/>
    <x v="2"/>
    <n v="0"/>
    <m/>
    <n v="0"/>
    <m/>
    <m/>
    <e v="#DIV/0!"/>
    <m/>
  </r>
  <r>
    <x v="22"/>
    <s v="Ben Store"/>
    <s v="creperie/hachoir"/>
    <x v="3"/>
    <n v="0"/>
    <m/>
    <n v="0"/>
    <m/>
    <m/>
    <e v="#DIV/0!"/>
    <m/>
  </r>
  <r>
    <x v="22"/>
    <s v="Richma Shop"/>
    <s v="café/Attote"/>
    <x v="4"/>
    <n v="0"/>
    <m/>
    <n v="0"/>
    <m/>
    <m/>
    <e v="#DIV/0!"/>
    <m/>
  </r>
  <r>
    <x v="22"/>
    <s v="Thamarati"/>
    <s v="moulinex robot/creperie"/>
    <x v="9"/>
    <n v="0"/>
    <m/>
    <n v="0"/>
    <m/>
    <m/>
    <e v="#DIV/0!"/>
    <m/>
  </r>
  <r>
    <x v="22"/>
    <s v="Natty"/>
    <s v="jel orange/ moulinex robot"/>
    <x v="10"/>
    <n v="0"/>
    <m/>
    <n v="0"/>
    <m/>
    <m/>
    <e v="#DIV/0!"/>
    <m/>
  </r>
  <r>
    <x v="22"/>
    <s v="Zamzam"/>
    <s v="Café longrich/savon au riz"/>
    <x v="11"/>
    <n v="0"/>
    <m/>
    <n v="0"/>
    <m/>
    <m/>
    <e v="#DIV/0!"/>
    <m/>
  </r>
  <r>
    <x v="22"/>
    <s v="Mufti"/>
    <s v="savon au riz/moulinex"/>
    <x v="8"/>
    <n v="0"/>
    <m/>
    <n v="0"/>
    <m/>
    <m/>
    <e v="#DIV/0!"/>
    <m/>
  </r>
  <r>
    <x v="22"/>
    <s v="Hadidja"/>
    <s v="parfum"/>
    <x v="12"/>
    <n v="0"/>
    <m/>
    <n v="0"/>
    <m/>
    <m/>
    <e v="#DIV/0!"/>
    <m/>
  </r>
  <r>
    <x v="22"/>
    <s v="Raina"/>
    <s v="parfum/savon au riz"/>
    <x v="14"/>
    <n v="0"/>
    <m/>
    <n v="0"/>
    <m/>
    <m/>
    <e v="#DIV/0!"/>
    <m/>
  </r>
  <r>
    <x v="22"/>
    <s v="lutfia"/>
    <s v="savon nigelle/riz"/>
    <x v="15"/>
    <n v="0"/>
    <m/>
    <n v="0"/>
    <m/>
    <m/>
    <e v="#DIV/0!"/>
    <m/>
  </r>
  <r>
    <x v="22"/>
    <s v="fayrati"/>
    <s v="savon nigelle/riz"/>
    <x v="16"/>
    <n v="0"/>
    <m/>
    <n v="0"/>
    <m/>
    <m/>
    <e v="#DIV/0!"/>
    <m/>
  </r>
  <r>
    <x v="22"/>
    <s v="Mariame"/>
    <s v="savon au riz/café"/>
    <x v="17"/>
    <n v="0"/>
    <m/>
    <n v="0"/>
    <m/>
    <m/>
    <e v="#DIV/0!"/>
    <m/>
  </r>
  <r>
    <x v="23"/>
    <s v="Boutique de Soin"/>
    <s v="jel orange"/>
    <x v="0"/>
    <n v="0"/>
    <m/>
    <m/>
    <m/>
    <m/>
    <n v="0"/>
    <m/>
  </r>
  <r>
    <x v="23"/>
    <s v="RMAA shop"/>
    <s v="NA"/>
    <x v="2"/>
    <n v="0"/>
    <m/>
    <m/>
    <m/>
    <m/>
    <n v="0"/>
    <m/>
  </r>
  <r>
    <x v="23"/>
    <s v="Ben Store"/>
    <s v="prise de poids/savon de riz"/>
    <x v="3"/>
    <n v="0"/>
    <n v="2"/>
    <m/>
    <n v="16500"/>
    <n v="2250"/>
    <n v="0"/>
    <m/>
  </r>
  <r>
    <x v="23"/>
    <s v="Richma Shop"/>
    <s v="attote/"/>
    <x v="4"/>
    <n v="0"/>
    <m/>
    <m/>
    <m/>
    <m/>
    <n v="0"/>
    <m/>
  </r>
  <r>
    <x v="23"/>
    <s v="Thamarati"/>
    <s v="glorysmile"/>
    <x v="9"/>
    <n v="0"/>
    <m/>
    <m/>
    <m/>
    <m/>
    <n v="0"/>
    <m/>
  </r>
  <r>
    <x v="23"/>
    <s v="Natty"/>
    <m/>
    <x v="10"/>
    <n v="0"/>
    <m/>
    <m/>
    <m/>
    <m/>
    <n v="0"/>
    <m/>
  </r>
  <r>
    <x v="23"/>
    <s v="Zamzam"/>
    <m/>
    <x v="11"/>
    <n v="0"/>
    <m/>
    <m/>
    <m/>
    <m/>
    <n v="0"/>
    <m/>
  </r>
  <r>
    <x v="23"/>
    <s v="Mufti"/>
    <s v="prise de poids/attote"/>
    <x v="8"/>
    <n v="0"/>
    <n v="3"/>
    <m/>
    <n v="45000"/>
    <n v="7000"/>
    <n v="0"/>
    <m/>
  </r>
  <r>
    <x v="23"/>
    <s v="Hadidja"/>
    <s v="parfum de bouche"/>
    <x v="12"/>
    <n v="0"/>
    <n v="3"/>
    <m/>
    <n v="10000"/>
    <n v="3000"/>
    <n v="0"/>
    <m/>
  </r>
  <r>
    <x v="23"/>
    <s v="Raina"/>
    <s v="jel orange"/>
    <x v="14"/>
    <n v="0"/>
    <n v="3"/>
    <m/>
    <n v="10000"/>
    <n v="3000"/>
    <n v="0"/>
    <m/>
  </r>
  <r>
    <x v="23"/>
    <s v="lutfia"/>
    <s v="glorysmile/savon au riz"/>
    <x v="15"/>
    <n v="0"/>
    <n v="3"/>
    <m/>
    <n v="31500"/>
    <n v="4750"/>
    <n v="0"/>
    <m/>
  </r>
  <r>
    <x v="23"/>
    <s v="fayrati"/>
    <s v="huile/glorysmile/savon au riz"/>
    <x v="18"/>
    <n v="0"/>
    <n v="0"/>
    <m/>
    <n v="0"/>
    <n v="0"/>
    <n v="0"/>
    <m/>
  </r>
  <r>
    <x v="23"/>
    <s v="Mariame"/>
    <s v="NA"/>
    <x v="17"/>
    <n v="0"/>
    <n v="1"/>
    <n v="0"/>
    <n v="12500"/>
    <n v="2500"/>
    <n v="0"/>
    <m/>
  </r>
  <r>
    <x v="24"/>
    <s v="Boutique de Soin"/>
    <s v="jel orange"/>
    <x v="0"/>
    <n v="87"/>
    <m/>
    <n v="6.66"/>
    <m/>
    <m/>
    <n v="0"/>
    <m/>
  </r>
  <r>
    <x v="24"/>
    <s v="Ben Store"/>
    <s v="prise de poids/savon de riz"/>
    <x v="3"/>
    <n v="104"/>
    <n v="3"/>
    <n v="6.54"/>
    <n v="20500"/>
    <n v="3250"/>
    <n v="2.8846153846153848E-2"/>
    <m/>
  </r>
  <r>
    <x v="24"/>
    <s v="Richma Shop"/>
    <s v="M"/>
    <x v="4"/>
    <n v="2"/>
    <m/>
    <n v="2.62"/>
    <m/>
    <m/>
    <n v="0"/>
    <m/>
  </r>
  <r>
    <x v="24"/>
    <s v="Thamarati"/>
    <s v="glorysmile"/>
    <x v="9"/>
    <n v="34"/>
    <m/>
    <n v="3.09"/>
    <m/>
    <m/>
    <n v="0"/>
    <m/>
  </r>
  <r>
    <x v="24"/>
    <s v="Natty"/>
    <m/>
    <x v="10"/>
    <n v="0"/>
    <m/>
    <n v="0"/>
    <m/>
    <m/>
    <n v="0"/>
    <m/>
  </r>
  <r>
    <x v="24"/>
    <s v="Zamzam"/>
    <m/>
    <x v="11"/>
    <n v="0"/>
    <m/>
    <n v="0"/>
    <m/>
    <m/>
    <n v="0"/>
    <m/>
  </r>
  <r>
    <x v="24"/>
    <s v="Mufti"/>
    <s v="prise de poids/attote"/>
    <x v="8"/>
    <n v="52"/>
    <n v="1"/>
    <n v="4.68"/>
    <n v="4000"/>
    <n v="1000"/>
    <n v="1.9230769230769232E-2"/>
    <m/>
  </r>
  <r>
    <x v="24"/>
    <s v="Hadidja"/>
    <s v="parfum de bouche"/>
    <x v="12"/>
    <n v="13"/>
    <m/>
    <n v="5.3999999999999995"/>
    <m/>
    <m/>
    <n v="0"/>
    <m/>
  </r>
  <r>
    <x v="24"/>
    <s v="Raina"/>
    <s v="jel orange"/>
    <x v="14"/>
    <n v="37"/>
    <m/>
    <n v="4.8600000000000003"/>
    <m/>
    <m/>
    <n v="0"/>
    <m/>
  </r>
  <r>
    <x v="24"/>
    <s v="lutfia"/>
    <s v="glorysmile/savon au riz"/>
    <x v="15"/>
    <n v="50"/>
    <n v="14"/>
    <n v="4.46"/>
    <n v="56000"/>
    <n v="14000"/>
    <n v="0.28000000000000003"/>
    <m/>
  </r>
  <r>
    <x v="24"/>
    <s v="fayrati"/>
    <s v="huile/glorysmile/savon au riz"/>
    <x v="18"/>
    <n v="90"/>
    <n v="2"/>
    <n v="4.37"/>
    <n v="22500"/>
    <n v="3750"/>
    <n v="2.2222222222222223E-2"/>
    <m/>
  </r>
  <r>
    <x v="24"/>
    <s v="Mariame"/>
    <s v="NA"/>
    <x v="17"/>
    <n v="7"/>
    <n v="1"/>
    <n v="0"/>
    <n v="12500"/>
    <n v="2500"/>
    <n v="0.14285714285714285"/>
    <m/>
  </r>
  <r>
    <x v="24"/>
    <s v="riwad"/>
    <s v="poudre de poids/savon au riz"/>
    <x v="19"/>
    <n v="23"/>
    <m/>
    <n v="1.81"/>
    <m/>
    <m/>
    <n v="0"/>
    <m/>
  </r>
  <r>
    <x v="24"/>
    <s v="Asna"/>
    <s v="glorysmile"/>
    <x v="6"/>
    <n v="15"/>
    <m/>
    <n v="1.67"/>
    <m/>
    <m/>
    <n v="0"/>
    <m/>
  </r>
  <r>
    <x v="24"/>
    <s v="balmata"/>
    <s v="prise de poids /savon au riz"/>
    <x v="20"/>
    <n v="47"/>
    <m/>
    <n v="3.2"/>
    <m/>
    <m/>
    <n v="0"/>
    <m/>
  </r>
  <r>
    <x v="24"/>
    <s v="lutfat"/>
    <s v="jel orange/prise de poids"/>
    <x v="21"/>
    <n v="56"/>
    <m/>
    <n v="3.24"/>
    <m/>
    <m/>
    <n v="0"/>
    <m/>
  </r>
  <r>
    <x v="24"/>
    <s v="hamida"/>
    <s v="savon au riz/prise de poids"/>
    <x v="22"/>
    <n v="68"/>
    <n v="1"/>
    <n v="3.2"/>
    <n v="12500"/>
    <n v="2500"/>
    <n v="1.4705882352941176E-2"/>
    <m/>
  </r>
  <r>
    <x v="24"/>
    <s v="nayla"/>
    <s v="jel orange /savon orange"/>
    <x v="23"/>
    <n v="63"/>
    <n v="2"/>
    <n v="3.42"/>
    <n v="25000"/>
    <n v="5000"/>
    <n v="3.1746031746031744E-2"/>
    <m/>
  </r>
  <r>
    <x v="24"/>
    <s v="suraya"/>
    <s v="prise de poids/the minceur"/>
    <x v="24"/>
    <n v="26"/>
    <m/>
    <n v="1.73"/>
    <m/>
    <m/>
    <n v="0"/>
    <m/>
  </r>
  <r>
    <x v="25"/>
    <s v="Boutique de Soin"/>
    <s v="jel orange"/>
    <x v="0"/>
    <m/>
    <n v="4"/>
    <m/>
    <n v="50000"/>
    <n v="10000"/>
    <n v="0"/>
    <m/>
  </r>
  <r>
    <x v="25"/>
    <s v="RMAA shop"/>
    <s v="NA"/>
    <x v="2"/>
    <m/>
    <m/>
    <m/>
    <m/>
    <m/>
    <n v="0"/>
    <m/>
  </r>
  <r>
    <x v="25"/>
    <s v="Ben Store"/>
    <s v="prise de poids/savon de riz"/>
    <x v="3"/>
    <m/>
    <n v="1"/>
    <m/>
    <n v="12500"/>
    <n v="2500"/>
    <n v="0"/>
    <m/>
  </r>
  <r>
    <x v="25"/>
    <s v="Richma Shop"/>
    <s v="attote/"/>
    <x v="4"/>
    <m/>
    <m/>
    <m/>
    <m/>
    <m/>
    <n v="0"/>
    <m/>
  </r>
  <r>
    <x v="25"/>
    <s v="Thamarati"/>
    <s v="glorysmile"/>
    <x v="9"/>
    <m/>
    <n v="1"/>
    <n v="1.84"/>
    <n v="10000"/>
    <n v="2500"/>
    <n v="0"/>
    <m/>
  </r>
  <r>
    <x v="25"/>
    <s v="Mufti"/>
    <s v="prise de poids/attote"/>
    <x v="8"/>
    <m/>
    <n v="5"/>
    <m/>
    <n v="43000"/>
    <n v="9500"/>
    <n v="0"/>
    <m/>
  </r>
  <r>
    <x v="25"/>
    <s v="Hadidja"/>
    <s v="parfum de bouche"/>
    <x v="12"/>
    <n v="16"/>
    <n v="1"/>
    <n v="1.22"/>
    <n v="4000"/>
    <n v="1000"/>
    <n v="6.25E-2"/>
    <m/>
  </r>
  <r>
    <x v="25"/>
    <s v="Raina"/>
    <s v="jel orange"/>
    <x v="14"/>
    <m/>
    <n v="3"/>
    <n v="0.03"/>
    <n v="26500"/>
    <n v="4500"/>
    <n v="0"/>
    <n v="4587211"/>
  </r>
  <r>
    <x v="25"/>
    <s v="lutfia"/>
    <s v="glorysmile/savon au riz"/>
    <x v="15"/>
    <n v="18"/>
    <n v="6"/>
    <m/>
    <n v="44500"/>
    <n v="10500"/>
    <n v="0.33333333333333331"/>
    <n v="4221767"/>
  </r>
  <r>
    <x v="25"/>
    <s v="fayrati"/>
    <s v="huile/glorysmile/savon au riz"/>
    <x v="18"/>
    <m/>
    <n v="2"/>
    <m/>
    <n v="22500"/>
    <n v="3750"/>
    <n v="0"/>
    <m/>
  </r>
  <r>
    <x v="25"/>
    <s v="Mariame"/>
    <s v="NA"/>
    <x v="17"/>
    <n v="13"/>
    <n v="2"/>
    <n v="1.42"/>
    <n v="16500"/>
    <n v="3500"/>
    <n v="0.15384615384615385"/>
    <n v="4080782"/>
  </r>
  <r>
    <x v="25"/>
    <s v="riwad"/>
    <s v="poudre de poids/savon au riz"/>
    <x v="19"/>
    <n v="11"/>
    <n v="1"/>
    <n v="0.72"/>
    <n v="12500"/>
    <n v="2500"/>
    <n v="9.0909090909090912E-2"/>
    <n v="4559847"/>
  </r>
  <r>
    <x v="25"/>
    <s v="Asna"/>
    <s v="glorysmile"/>
    <x v="6"/>
    <n v="13"/>
    <m/>
    <n v="1.23"/>
    <m/>
    <m/>
    <n v="0"/>
    <n v="4541035"/>
  </r>
  <r>
    <x v="25"/>
    <s v="balmata"/>
    <s v="prise de poids /savon au riz"/>
    <x v="20"/>
    <n v="6"/>
    <m/>
    <n v="0.23"/>
    <m/>
    <m/>
    <n v="0"/>
    <n v="4636761"/>
  </r>
  <r>
    <x v="25"/>
    <s v="lutfat"/>
    <s v="jel orange/prise de poids"/>
    <x v="21"/>
    <n v="7"/>
    <n v="4"/>
    <n v="0.64"/>
    <n v="52500"/>
    <n v="10000"/>
    <n v="0.5714285714285714"/>
    <n v="4636772"/>
  </r>
  <r>
    <x v="25"/>
    <s v="hamida"/>
    <s v="savon au riz/prise de poids"/>
    <x v="22"/>
    <n v="5"/>
    <n v="1"/>
    <n v="0.12"/>
    <n v="17500"/>
    <n v="2500"/>
    <n v="0.2"/>
    <m/>
  </r>
  <r>
    <x v="25"/>
    <s v="nayla"/>
    <s v="jel orange /savon orange"/>
    <x v="23"/>
    <n v="16"/>
    <n v="1"/>
    <n v="1.35"/>
    <n v="12500"/>
    <n v="2500"/>
    <n v="6.25E-2"/>
    <n v="4587817"/>
  </r>
  <r>
    <x v="25"/>
    <s v="suraya"/>
    <s v="prise de poids/the minceur"/>
    <x v="24"/>
    <n v="31"/>
    <n v="1"/>
    <n v="1.35"/>
    <n v="12500"/>
    <n v="2500"/>
    <n v="3.2258064516129031E-2"/>
    <n v="3330821"/>
  </r>
  <r>
    <x v="26"/>
    <s v="Boutique de Soin"/>
    <s v="jel orange"/>
    <x v="0"/>
    <m/>
    <m/>
    <m/>
    <m/>
    <m/>
    <n v="0"/>
    <m/>
  </r>
  <r>
    <x v="26"/>
    <s v="RMAA shop"/>
    <s v="NA"/>
    <x v="2"/>
    <m/>
    <m/>
    <m/>
    <m/>
    <m/>
    <n v="0"/>
    <m/>
  </r>
  <r>
    <x v="26"/>
    <s v="Ben Store"/>
    <s v="prise de poids/savon de riz"/>
    <x v="3"/>
    <m/>
    <n v="1"/>
    <m/>
    <n v="12500"/>
    <n v="2500"/>
    <n v="0"/>
    <m/>
  </r>
  <r>
    <x v="26"/>
    <s v="Richma Shop"/>
    <s v="attote/"/>
    <x v="4"/>
    <m/>
    <m/>
    <m/>
    <m/>
    <m/>
    <n v="0"/>
    <m/>
  </r>
  <r>
    <x v="26"/>
    <s v="Thamarati"/>
    <s v="glorysmile"/>
    <x v="9"/>
    <m/>
    <n v="1"/>
    <m/>
    <n v="20000"/>
    <n v="2000"/>
    <n v="0"/>
    <m/>
  </r>
  <r>
    <x v="26"/>
    <s v="Natty"/>
    <m/>
    <x v="10"/>
    <m/>
    <m/>
    <m/>
    <m/>
    <m/>
    <n v="0"/>
    <m/>
  </r>
  <r>
    <x v="26"/>
    <s v="Zamzam"/>
    <m/>
    <x v="11"/>
    <m/>
    <m/>
    <m/>
    <m/>
    <m/>
    <n v="0"/>
    <m/>
  </r>
  <r>
    <x v="26"/>
    <s v="Mufti"/>
    <s v="prise de poids/attote"/>
    <x v="8"/>
    <m/>
    <n v="1"/>
    <m/>
    <n v="20000"/>
    <n v="2000"/>
    <n v="0"/>
    <m/>
  </r>
  <r>
    <x v="26"/>
    <s v="Hadidja"/>
    <s v="parfum de bouche"/>
    <x v="12"/>
    <m/>
    <m/>
    <m/>
    <m/>
    <m/>
    <n v="0"/>
    <m/>
  </r>
  <r>
    <x v="26"/>
    <s v="Raina"/>
    <s v="jel orange"/>
    <x v="14"/>
    <m/>
    <m/>
    <m/>
    <m/>
    <m/>
    <n v="0"/>
    <n v="4587211"/>
  </r>
  <r>
    <x v="26"/>
    <s v="lutfia"/>
    <s v="glorysmile/savon au riz"/>
    <x v="15"/>
    <m/>
    <m/>
    <m/>
    <m/>
    <m/>
    <n v="0"/>
    <n v="4221767"/>
  </r>
  <r>
    <x v="26"/>
    <s v="fayrati"/>
    <s v="huile/glorysmile/savon au riz"/>
    <x v="18"/>
    <m/>
    <n v="1"/>
    <m/>
    <n v="27500"/>
    <n v="2750"/>
    <n v="0"/>
    <m/>
  </r>
  <r>
    <x v="26"/>
    <s v="Mariame"/>
    <s v="NA"/>
    <x v="17"/>
    <m/>
    <m/>
    <m/>
    <m/>
    <m/>
    <n v="0"/>
    <n v="4080782"/>
  </r>
  <r>
    <x v="26"/>
    <s v="riwad"/>
    <s v="poudre de poids/savon au riz"/>
    <x v="19"/>
    <m/>
    <n v="2"/>
    <m/>
    <n v="8000"/>
    <n v="2000"/>
    <n v="0"/>
    <n v="4559847"/>
  </r>
  <r>
    <x v="26"/>
    <s v="Asna"/>
    <s v="glorysmile"/>
    <x v="6"/>
    <m/>
    <m/>
    <m/>
    <m/>
    <m/>
    <n v="0"/>
    <n v="4541035"/>
  </r>
  <r>
    <x v="26"/>
    <s v="balmata"/>
    <s v="prise de poids /savon au riz"/>
    <x v="20"/>
    <m/>
    <m/>
    <m/>
    <m/>
    <m/>
    <n v="0"/>
    <n v="4636761"/>
  </r>
  <r>
    <x v="26"/>
    <s v="lutfat"/>
    <s v="jel orange/prise de poids"/>
    <x v="21"/>
    <m/>
    <n v="3"/>
    <m/>
    <n v="31500"/>
    <n v="6000"/>
    <n v="0"/>
    <n v="4636772"/>
  </r>
  <r>
    <x v="26"/>
    <s v="hamida"/>
    <s v="savon au riz/prise de poids"/>
    <x v="22"/>
    <m/>
    <m/>
    <m/>
    <m/>
    <m/>
    <n v="0"/>
    <m/>
  </r>
  <r>
    <x v="26"/>
    <s v="nayla"/>
    <s v="jel orange /savon orange"/>
    <x v="23"/>
    <m/>
    <n v="1"/>
    <m/>
    <n v="12500"/>
    <n v="2500"/>
    <n v="0"/>
    <n v="4587817"/>
  </r>
  <r>
    <x v="26"/>
    <s v="suraya"/>
    <s v="prise de poids/the minceur"/>
    <x v="24"/>
    <m/>
    <n v="1"/>
    <m/>
    <n v="12500"/>
    <n v="2500"/>
    <n v="0"/>
    <n v="3330821"/>
  </r>
  <r>
    <x v="27"/>
    <s v="Boutique de Soin"/>
    <s v="jel orange"/>
    <x v="0"/>
    <n v="16"/>
    <m/>
    <n v="2.27"/>
    <m/>
    <m/>
    <n v="0"/>
    <m/>
  </r>
  <r>
    <x v="27"/>
    <s v="Ben Store"/>
    <s v="prise de poids/savon de riz"/>
    <x v="3"/>
    <n v="17"/>
    <m/>
    <n v="1.92"/>
    <m/>
    <m/>
    <n v="0"/>
    <m/>
  </r>
  <r>
    <x v="27"/>
    <s v="Richma Shop"/>
    <s v="attote/"/>
    <x v="4"/>
    <m/>
    <m/>
    <m/>
    <m/>
    <m/>
    <n v="0"/>
    <m/>
  </r>
  <r>
    <x v="27"/>
    <s v="Thamarati"/>
    <s v="glorysmile"/>
    <x v="9"/>
    <n v="25"/>
    <m/>
    <n v="2.09"/>
    <m/>
    <m/>
    <n v="0"/>
    <m/>
  </r>
  <r>
    <x v="27"/>
    <s v="Mufti"/>
    <s v="prise de poids/attote"/>
    <x v="8"/>
    <n v="22"/>
    <m/>
    <n v="2.17"/>
    <m/>
    <m/>
    <n v="0"/>
    <m/>
  </r>
  <r>
    <x v="27"/>
    <s v="Hadidja"/>
    <s v="parfum de bouche"/>
    <x v="12"/>
    <n v="13"/>
    <n v="1"/>
    <n v="2.16"/>
    <n v="4000"/>
    <n v="1000"/>
    <n v="7.6923076923076927E-2"/>
    <m/>
  </r>
  <r>
    <x v="27"/>
    <s v="Raina"/>
    <s v="jel orange"/>
    <x v="14"/>
    <n v="16"/>
    <n v="1"/>
    <n v="2.34"/>
    <n v="3000"/>
    <n v="1000"/>
    <n v="6.25E-2"/>
    <n v="4587211"/>
  </r>
  <r>
    <x v="27"/>
    <s v="lutfia"/>
    <s v="glorysmile/savon au riz"/>
    <x v="15"/>
    <n v="27"/>
    <m/>
    <n v="2.08"/>
    <m/>
    <m/>
    <n v="0"/>
    <n v="4221767"/>
  </r>
  <r>
    <x v="27"/>
    <s v="fayrati"/>
    <s v="huile/glorysmile/savon au riz"/>
    <x v="18"/>
    <n v="15"/>
    <m/>
    <n v="2.4"/>
    <m/>
    <m/>
    <n v="0"/>
    <m/>
  </r>
  <r>
    <x v="27"/>
    <s v="Mariame"/>
    <s v="NA"/>
    <x v="17"/>
    <n v="20"/>
    <n v="1"/>
    <n v="2.39"/>
    <n v="12500"/>
    <n v="2500"/>
    <n v="0.05"/>
    <n v="4080782"/>
  </r>
  <r>
    <x v="27"/>
    <s v="riwad"/>
    <s v="poudre de poids/savon au riz"/>
    <x v="19"/>
    <n v="10"/>
    <n v="1"/>
    <n v="1.92"/>
    <n v="14500"/>
    <n v="2500"/>
    <n v="0.1"/>
    <n v="4559847"/>
  </r>
  <r>
    <x v="27"/>
    <s v="Asna"/>
    <s v="glorysmile"/>
    <x v="6"/>
    <n v="18"/>
    <m/>
    <n v="2.17"/>
    <m/>
    <m/>
    <n v="0"/>
    <n v="4541035"/>
  </r>
  <r>
    <x v="27"/>
    <s v="balmata"/>
    <s v="prise de poids /savon au riz"/>
    <x v="20"/>
    <n v="22"/>
    <n v="2"/>
    <n v="2.23"/>
    <n v="30000"/>
    <n v="5000"/>
    <n v="9.0909090909090912E-2"/>
    <n v="4636761"/>
  </r>
  <r>
    <x v="27"/>
    <s v="lutfat"/>
    <s v="jel orange/prise de poids"/>
    <x v="21"/>
    <n v="25"/>
    <n v="2"/>
    <n v="2.87"/>
    <n v="27000"/>
    <n v="5000"/>
    <n v="0.08"/>
    <n v="4636772"/>
  </r>
  <r>
    <x v="27"/>
    <s v="hamida"/>
    <s v="savon au riz/prise de poids"/>
    <x v="22"/>
    <n v="18"/>
    <m/>
    <n v="1.41"/>
    <m/>
    <m/>
    <n v="0"/>
    <m/>
  </r>
  <r>
    <x v="27"/>
    <s v="nayla"/>
    <s v="jel orange /savon orange"/>
    <x v="23"/>
    <n v="21"/>
    <m/>
    <n v="1.49"/>
    <m/>
    <m/>
    <n v="0"/>
    <n v="4587817"/>
  </r>
  <r>
    <x v="27"/>
    <s v="suraya"/>
    <s v="prise de poids/the minceur"/>
    <x v="24"/>
    <n v="10"/>
    <m/>
    <n v="1.5"/>
    <m/>
    <m/>
    <n v="0"/>
    <n v="3330821"/>
  </r>
  <r>
    <x v="28"/>
    <s v="Boutique de Soin"/>
    <s v="jel orange"/>
    <x v="0"/>
    <n v="15"/>
    <m/>
    <n v="1.3"/>
    <m/>
    <m/>
    <n v="0"/>
    <m/>
  </r>
  <r>
    <x v="28"/>
    <s v="Ben Store"/>
    <s v="prise de poids/savon de riz"/>
    <x v="3"/>
    <n v="10"/>
    <m/>
    <n v="1.56"/>
    <m/>
    <m/>
    <n v="0"/>
    <m/>
  </r>
  <r>
    <x v="28"/>
    <s v="Thamarati"/>
    <s v="glorysmile"/>
    <x v="9"/>
    <n v="37"/>
    <n v="1"/>
    <n v="1.31"/>
    <n v="12500"/>
    <n v="2500"/>
    <n v="2.7027027027027029E-2"/>
    <m/>
  </r>
  <r>
    <x v="28"/>
    <s v="Mufti"/>
    <s v="prise de poids/attote"/>
    <x v="8"/>
    <n v="16"/>
    <m/>
    <n v="1.38"/>
    <m/>
    <m/>
    <n v="0"/>
    <m/>
  </r>
  <r>
    <x v="28"/>
    <s v="Hadidja"/>
    <s v="parfum de bouche"/>
    <x v="12"/>
    <n v="9"/>
    <n v="1"/>
    <n v="1.23"/>
    <n v="4000"/>
    <n v="1000"/>
    <n v="0.1111111111111111"/>
    <m/>
  </r>
  <r>
    <x v="28"/>
    <s v="Raina"/>
    <s v="jel orange"/>
    <x v="14"/>
    <n v="13"/>
    <n v="6"/>
    <n v="1.18"/>
    <n v="49500"/>
    <n v="10500"/>
    <n v="0.46153846153846156"/>
    <n v="4587211"/>
  </r>
  <r>
    <x v="28"/>
    <s v="lutfia"/>
    <s v="glorysmile/savon au riz"/>
    <x v="15"/>
    <n v="17"/>
    <n v="1"/>
    <n v="1.39"/>
    <n v="10000"/>
    <n v="2500"/>
    <n v="5.8823529411764705E-2"/>
    <n v="4221767"/>
  </r>
  <r>
    <x v="28"/>
    <s v="fayrati"/>
    <s v="huile/glorysmile/savon au riz"/>
    <x v="18"/>
    <n v="0"/>
    <m/>
    <n v="0"/>
    <m/>
    <m/>
    <n v="0"/>
    <m/>
  </r>
  <r>
    <x v="28"/>
    <s v="Mariame"/>
    <s v="NA"/>
    <x v="17"/>
    <n v="18"/>
    <m/>
    <n v="1.08"/>
    <m/>
    <m/>
    <n v="0"/>
    <n v="4080782"/>
  </r>
  <r>
    <x v="28"/>
    <s v="riwad"/>
    <s v="poudre de poids/savon au riz"/>
    <x v="19"/>
    <n v="13"/>
    <m/>
    <n v="1.5"/>
    <m/>
    <m/>
    <n v="0"/>
    <n v="4559847"/>
  </r>
  <r>
    <x v="28"/>
    <s v="Asna"/>
    <s v="glorysmile"/>
    <x v="6"/>
    <n v="11"/>
    <m/>
    <n v="1.25"/>
    <m/>
    <m/>
    <n v="0"/>
    <n v="4541035"/>
  </r>
  <r>
    <x v="28"/>
    <s v="balmata"/>
    <s v="prise de poids /savon au riz"/>
    <x v="20"/>
    <n v="25"/>
    <n v="1"/>
    <n v="1.38"/>
    <n v="12500"/>
    <n v="2500"/>
    <n v="0.04"/>
    <n v="4636761"/>
  </r>
  <r>
    <x v="28"/>
    <s v="lutfat"/>
    <s v="jel orange/prise de poids"/>
    <x v="21"/>
    <n v="19"/>
    <m/>
    <n v="1.72"/>
    <m/>
    <m/>
    <n v="0"/>
    <n v="4636772"/>
  </r>
  <r>
    <x v="28"/>
    <s v="hamida"/>
    <s v="savon au riz/prise de poids"/>
    <x v="22"/>
    <n v="15"/>
    <n v="1"/>
    <n v="1.98"/>
    <n v="13500"/>
    <n v="2500"/>
    <n v="6.6666666666666666E-2"/>
    <m/>
  </r>
  <r>
    <x v="28"/>
    <s v="nayla"/>
    <s v="jel orange /savon orange"/>
    <x v="23"/>
    <n v="30"/>
    <m/>
    <n v="1.89"/>
    <m/>
    <m/>
    <n v="0"/>
    <n v="4587817"/>
  </r>
  <r>
    <x v="28"/>
    <s v="suraya"/>
    <s v="prise de poids/the minceur"/>
    <x v="24"/>
    <n v="11"/>
    <n v="1"/>
    <n v="1.67"/>
    <n v="12500"/>
    <n v="2500"/>
    <n v="9.0909090909090912E-2"/>
    <n v="3330821"/>
  </r>
  <r>
    <x v="28"/>
    <s v="coach"/>
    <s v="moto"/>
    <x v="25"/>
    <n v="0"/>
    <m/>
    <n v="0"/>
    <m/>
    <m/>
    <n v="0"/>
    <m/>
  </r>
  <r>
    <x v="28"/>
    <s v="malika"/>
    <s v="glorysmile/gel orange"/>
    <x v="26"/>
    <n v="10"/>
    <m/>
    <n v="1.0900000000000001"/>
    <m/>
    <m/>
    <n v="0"/>
    <m/>
  </r>
  <r>
    <x v="28"/>
    <s v="rabianti"/>
    <s v="glorysmile/gel orange"/>
    <x v="27"/>
    <n v="11"/>
    <m/>
    <n v="1.02"/>
    <m/>
    <m/>
    <n v="0"/>
    <m/>
  </r>
  <r>
    <x v="29"/>
    <s v="Boutique de Soin"/>
    <s v="jel orange"/>
    <x v="0"/>
    <n v="26"/>
    <m/>
    <n v="2.19"/>
    <m/>
    <m/>
    <n v="0"/>
    <m/>
  </r>
  <r>
    <x v="29"/>
    <s v="Ben Store"/>
    <s v="prise de poids/savon de riz"/>
    <x v="3"/>
    <n v="27"/>
    <m/>
    <n v="1.87"/>
    <m/>
    <m/>
    <n v="0"/>
    <m/>
  </r>
  <r>
    <x v="29"/>
    <s v="Thamarati"/>
    <s v="glorysmile"/>
    <x v="9"/>
    <n v="3"/>
    <m/>
    <n v="0.14000000000000001"/>
    <m/>
    <m/>
    <n v="0"/>
    <m/>
  </r>
  <r>
    <x v="29"/>
    <s v="Mufti"/>
    <s v="prise de poids/attote"/>
    <x v="8"/>
    <n v="21"/>
    <m/>
    <n v="2"/>
    <m/>
    <m/>
    <n v="0"/>
    <m/>
  </r>
  <r>
    <x v="29"/>
    <s v="Hadidja"/>
    <s v="parfum de bouche"/>
    <x v="12"/>
    <n v="21"/>
    <m/>
    <n v="1.84"/>
    <m/>
    <m/>
    <n v="0"/>
    <m/>
  </r>
  <r>
    <x v="29"/>
    <s v="Raina"/>
    <s v="jel orange"/>
    <x v="14"/>
    <n v="38"/>
    <m/>
    <n v="2.2200000000000002"/>
    <m/>
    <m/>
    <n v="0"/>
    <n v="4587211"/>
  </r>
  <r>
    <x v="29"/>
    <s v="lutfia"/>
    <s v="glorysmile/savon au riz"/>
    <x v="15"/>
    <n v="20"/>
    <m/>
    <n v="2.06"/>
    <m/>
    <m/>
    <n v="0"/>
    <n v="4221767"/>
  </r>
  <r>
    <x v="29"/>
    <s v="fayrati"/>
    <s v="huile/glorysmile/savon au riz"/>
    <x v="18"/>
    <n v="0"/>
    <m/>
    <n v="0"/>
    <m/>
    <m/>
    <n v="0"/>
    <m/>
  </r>
  <r>
    <x v="29"/>
    <s v="Mariame"/>
    <s v="NA"/>
    <x v="17"/>
    <n v="31"/>
    <m/>
    <n v="2.11"/>
    <m/>
    <m/>
    <n v="0"/>
    <n v="4080782"/>
  </r>
  <r>
    <x v="29"/>
    <s v="riwad"/>
    <s v="poudre de poids/savon au riz"/>
    <x v="19"/>
    <n v="29"/>
    <m/>
    <n v="2.25"/>
    <m/>
    <m/>
    <n v="0"/>
    <n v="4559847"/>
  </r>
  <r>
    <x v="29"/>
    <s v="Asna"/>
    <s v="glorysmile"/>
    <x v="6"/>
    <n v="24"/>
    <m/>
    <n v="2.2599999999999998"/>
    <m/>
    <m/>
    <n v="0"/>
    <n v="4541035"/>
  </r>
  <r>
    <x v="29"/>
    <s v="balmata"/>
    <s v="prise de poids /savon au riz"/>
    <x v="20"/>
    <n v="21"/>
    <m/>
    <n v="2.09"/>
    <m/>
    <m/>
    <n v="0"/>
    <n v="4636761"/>
  </r>
  <r>
    <x v="29"/>
    <s v="lutfat"/>
    <s v="jel orange/prise de poids"/>
    <x v="21"/>
    <n v="14"/>
    <m/>
    <n v="2"/>
    <m/>
    <m/>
    <n v="0"/>
    <n v="4636772"/>
  </r>
  <r>
    <x v="29"/>
    <s v="hamida"/>
    <s v="savon au riz/prise de poids"/>
    <x v="22"/>
    <n v="45"/>
    <m/>
    <n v="1.99"/>
    <m/>
    <m/>
    <n v="0"/>
    <m/>
  </r>
  <r>
    <x v="29"/>
    <s v="nayla"/>
    <s v="jel orange /savon orange"/>
    <x v="23"/>
    <n v="19"/>
    <m/>
    <n v="2.11"/>
    <m/>
    <m/>
    <n v="0"/>
    <n v="4587817"/>
  </r>
  <r>
    <x v="29"/>
    <s v="suraya"/>
    <s v="prise de poids/the minceur"/>
    <x v="24"/>
    <n v="17"/>
    <m/>
    <n v="1.66"/>
    <m/>
    <m/>
    <n v="0"/>
    <n v="3330821"/>
  </r>
  <r>
    <x v="29"/>
    <s v="coach"/>
    <s v="moto"/>
    <x v="25"/>
    <n v="73"/>
    <m/>
    <n v="2.16"/>
    <m/>
    <m/>
    <n v="0"/>
    <m/>
  </r>
  <r>
    <x v="29"/>
    <s v="malika"/>
    <s v="glorysmile/gel orange"/>
    <x v="26"/>
    <n v="18"/>
    <m/>
    <n v="2.08"/>
    <m/>
    <m/>
    <n v="0"/>
    <m/>
  </r>
  <r>
    <x v="29"/>
    <s v="rabianti"/>
    <s v="glorysmile/gel orange"/>
    <x v="27"/>
    <n v="14"/>
    <m/>
    <n v="2.17"/>
    <m/>
    <m/>
    <n v="0"/>
    <m/>
  </r>
  <r>
    <x v="30"/>
    <s v="Boutique de Soin"/>
    <s v="jel orange"/>
    <x v="0"/>
    <n v="4"/>
    <n v="3"/>
    <n v="0.38"/>
    <n v="37500"/>
    <n v="7500"/>
    <n v="0.75"/>
    <m/>
  </r>
  <r>
    <x v="30"/>
    <s v="Ben Store"/>
    <s v="prise de poids/savon de riz"/>
    <x v="3"/>
    <n v="8"/>
    <n v="2"/>
    <n v="0.4"/>
    <n v="8000"/>
    <n v="2000"/>
    <n v="0.25"/>
    <m/>
  </r>
  <r>
    <x v="30"/>
    <s v="Thamarati"/>
    <s v="glorysmile"/>
    <x v="9"/>
    <n v="0"/>
    <n v="2"/>
    <n v="0"/>
    <n v="22500"/>
    <n v="5000"/>
    <n v="0"/>
    <m/>
  </r>
  <r>
    <x v="30"/>
    <s v="Mufti"/>
    <s v="prise de poids/attote"/>
    <x v="8"/>
    <n v="4"/>
    <n v="1"/>
    <n v="0.4"/>
    <n v="20000"/>
    <n v="2000"/>
    <n v="0.25"/>
    <m/>
  </r>
  <r>
    <x v="30"/>
    <s v="Hadidja"/>
    <s v="parfum de bouche"/>
    <x v="12"/>
    <n v="7"/>
    <n v="4"/>
    <n v="0.78"/>
    <n v="13000"/>
    <n v="4000"/>
    <n v="0.5714285714285714"/>
    <m/>
  </r>
  <r>
    <x v="30"/>
    <s v="Raina"/>
    <s v="jel orange"/>
    <x v="14"/>
    <n v="4"/>
    <n v="3"/>
    <n v="0.38"/>
    <n v="12000"/>
    <n v="3000"/>
    <n v="0.75"/>
    <n v="4587211"/>
  </r>
  <r>
    <x v="30"/>
    <s v="lutfia"/>
    <s v="glorysmile/savon au riz"/>
    <x v="15"/>
    <n v="0"/>
    <n v="6"/>
    <n v="0.44"/>
    <n v="44500"/>
    <n v="10500"/>
    <n v="0"/>
    <n v="4221767"/>
  </r>
  <r>
    <x v="30"/>
    <s v="fayrati"/>
    <s v="huile/glorysmile/savon au riz"/>
    <x v="18"/>
    <n v="2"/>
    <n v="1"/>
    <n v="0.25"/>
    <n v="17500"/>
    <n v="2500"/>
    <n v="0.5"/>
    <m/>
  </r>
  <r>
    <x v="30"/>
    <s v="Mariame"/>
    <s v="NA"/>
    <x v="17"/>
    <n v="5"/>
    <m/>
    <n v="0.52"/>
    <m/>
    <m/>
    <n v="0"/>
    <n v="4080782"/>
  </r>
  <r>
    <x v="30"/>
    <s v="riwad"/>
    <s v="poudre de poids/savon au riz"/>
    <x v="19"/>
    <n v="3"/>
    <n v="2"/>
    <n v="0.3"/>
    <n v="8000"/>
    <n v="2000"/>
    <n v="0.66666666666666663"/>
    <n v="4559847"/>
  </r>
  <r>
    <x v="30"/>
    <s v="Asna"/>
    <s v="glorysmile"/>
    <x v="6"/>
    <n v="13"/>
    <m/>
    <n v="0.96"/>
    <m/>
    <m/>
    <n v="0"/>
    <n v="4541035"/>
  </r>
  <r>
    <x v="30"/>
    <s v="balmata"/>
    <s v="prise de poids /savon au riz"/>
    <x v="20"/>
    <n v="3"/>
    <m/>
    <n v="0.43"/>
    <m/>
    <m/>
    <n v="0"/>
    <n v="4636761"/>
  </r>
  <r>
    <x v="30"/>
    <s v="lutfat"/>
    <s v="jel orange/prise de poids"/>
    <x v="21"/>
    <n v="4"/>
    <n v="4"/>
    <n v="0.24"/>
    <n v="55000"/>
    <n v="10000"/>
    <n v="1"/>
    <n v="4636772"/>
  </r>
  <r>
    <x v="30"/>
    <s v="hamida"/>
    <s v="savon au riz/prise de poids"/>
    <x v="22"/>
    <n v="5"/>
    <n v="2"/>
    <n v="0.51"/>
    <n v="9000"/>
    <n v="2000"/>
    <n v="0.4"/>
    <m/>
  </r>
  <r>
    <x v="30"/>
    <s v="nayla"/>
    <s v="jel orange /savon orange"/>
    <x v="23"/>
    <n v="1"/>
    <n v="3"/>
    <n v="0.23"/>
    <n v="29000"/>
    <n v="6000"/>
    <n v="3"/>
    <n v="4587817"/>
  </r>
  <r>
    <x v="30"/>
    <s v="suraya"/>
    <s v="prise de poids/the minceur"/>
    <x v="24"/>
    <n v="12"/>
    <m/>
    <n v="0.3"/>
    <m/>
    <m/>
    <n v="0"/>
    <n v="3330821"/>
  </r>
  <r>
    <x v="30"/>
    <s v="coach"/>
    <s v="moto"/>
    <x v="25"/>
    <n v="5"/>
    <m/>
    <n v="0.3"/>
    <m/>
    <m/>
    <n v="0"/>
    <m/>
  </r>
  <r>
    <x v="30"/>
    <s v="malika"/>
    <s v="glorysmile/gel orange"/>
    <x v="26"/>
    <n v="5"/>
    <n v="1"/>
    <n v="0.73"/>
    <n v="10000"/>
    <n v="2500"/>
    <n v="0.2"/>
    <m/>
  </r>
  <r>
    <x v="30"/>
    <s v="rabianti"/>
    <s v="glorysmile/gel orange"/>
    <x v="27"/>
    <n v="24"/>
    <m/>
    <n v="1.24"/>
    <m/>
    <m/>
    <n v="0"/>
    <m/>
  </r>
  <r>
    <x v="31"/>
    <s v="Boutique de Soin"/>
    <s v="jel orange"/>
    <x v="0"/>
    <n v="1"/>
    <m/>
    <m/>
    <m/>
    <m/>
    <n v="0"/>
    <m/>
  </r>
  <r>
    <x v="31"/>
    <s v="Ben Store"/>
    <s v="prise de poids/savon de riz"/>
    <x v="3"/>
    <m/>
    <n v="1"/>
    <m/>
    <n v="4000"/>
    <n v="1000"/>
    <n v="0"/>
    <m/>
  </r>
  <r>
    <x v="31"/>
    <s v="Thamarati"/>
    <s v="glorysmile"/>
    <x v="9"/>
    <m/>
    <n v="3"/>
    <m/>
    <n v="35000"/>
    <n v="7500"/>
    <n v="0"/>
    <m/>
  </r>
  <r>
    <x v="31"/>
    <s v="Mufti"/>
    <s v="prise de poids/attote"/>
    <x v="8"/>
    <m/>
    <m/>
    <m/>
    <m/>
    <m/>
    <n v="0"/>
    <m/>
  </r>
  <r>
    <x v="31"/>
    <s v="Hadidja"/>
    <s v="parfum de bouche"/>
    <x v="12"/>
    <m/>
    <n v="2"/>
    <m/>
    <n v="16500"/>
    <n v="3500"/>
    <n v="0"/>
    <m/>
  </r>
  <r>
    <x v="31"/>
    <s v="Raina"/>
    <s v="jel orange"/>
    <x v="14"/>
    <m/>
    <n v="2"/>
    <m/>
    <n v="16500"/>
    <n v="3500"/>
    <n v="0"/>
    <n v="4587211"/>
  </r>
  <r>
    <x v="31"/>
    <s v="lutfia"/>
    <s v="glorysmile/savon au riz"/>
    <x v="15"/>
    <m/>
    <n v="1"/>
    <m/>
    <n v="4000"/>
    <n v="1000"/>
    <n v="0"/>
    <n v="4221767"/>
  </r>
  <r>
    <x v="31"/>
    <s v="fayrati"/>
    <s v="huile/glorysmile/savon au riz"/>
    <x v="18"/>
    <m/>
    <m/>
    <m/>
    <m/>
    <m/>
    <n v="0"/>
    <m/>
  </r>
  <r>
    <x v="31"/>
    <s v="Mariame"/>
    <s v="NA"/>
    <x v="17"/>
    <m/>
    <m/>
    <m/>
    <m/>
    <m/>
    <n v="0"/>
    <n v="4080782"/>
  </r>
  <r>
    <x v="31"/>
    <s v="riwad"/>
    <s v="poudre de poids/savon au riz"/>
    <x v="19"/>
    <m/>
    <m/>
    <m/>
    <m/>
    <m/>
    <n v="0"/>
    <n v="4559847"/>
  </r>
  <r>
    <x v="31"/>
    <s v="Asna"/>
    <s v="glorysmile"/>
    <x v="6"/>
    <m/>
    <m/>
    <m/>
    <m/>
    <m/>
    <n v="0"/>
    <n v="4541035"/>
  </r>
  <r>
    <x v="31"/>
    <s v="balmata"/>
    <s v="prise de poids /savon au riz"/>
    <x v="20"/>
    <m/>
    <n v="2"/>
    <m/>
    <n v="27500"/>
    <n v="5000"/>
    <n v="0"/>
    <n v="4636761"/>
  </r>
  <r>
    <x v="31"/>
    <s v="lutfat"/>
    <s v="jel orange/prise de poids"/>
    <x v="21"/>
    <m/>
    <n v="1"/>
    <m/>
    <n v="12500"/>
    <n v="2500"/>
    <n v="0"/>
    <n v="4636772"/>
  </r>
  <r>
    <x v="31"/>
    <s v="hamida"/>
    <s v="savon au riz/prise de poids"/>
    <x v="22"/>
    <m/>
    <n v="1"/>
    <m/>
    <n v="12500"/>
    <n v="2500"/>
    <n v="0"/>
    <m/>
  </r>
  <r>
    <x v="31"/>
    <s v="nayla"/>
    <s v="jel orange /savon orange"/>
    <x v="23"/>
    <n v="1"/>
    <m/>
    <m/>
    <m/>
    <m/>
    <n v="0"/>
    <n v="4587817"/>
  </r>
  <r>
    <x v="31"/>
    <s v="suraya"/>
    <s v="prise de poids/the minceur"/>
    <x v="24"/>
    <n v="1"/>
    <m/>
    <m/>
    <m/>
    <m/>
    <n v="0"/>
    <n v="3330821"/>
  </r>
  <r>
    <x v="31"/>
    <s v="coach"/>
    <s v="moto"/>
    <x v="25"/>
    <m/>
    <m/>
    <m/>
    <m/>
    <m/>
    <n v="0"/>
    <m/>
  </r>
  <r>
    <x v="31"/>
    <s v="malika"/>
    <s v="glorysmile/gel orange"/>
    <x v="26"/>
    <m/>
    <n v="2"/>
    <m/>
    <n v="30000"/>
    <n v="5000"/>
    <n v="0"/>
    <m/>
  </r>
  <r>
    <x v="31"/>
    <s v="rabianti"/>
    <s v="glorysmile/gel orange"/>
    <x v="27"/>
    <n v="1"/>
    <n v="1"/>
    <m/>
    <n v="12500"/>
    <n v="2500"/>
    <n v="1"/>
    <m/>
  </r>
  <r>
    <x v="32"/>
    <s v="Boutique de Soin"/>
    <s v="jel orange"/>
    <x v="0"/>
    <m/>
    <m/>
    <n v="0.02"/>
    <m/>
    <m/>
    <n v="0"/>
    <n v="4316190"/>
  </r>
  <r>
    <x v="32"/>
    <s v="Ben Store"/>
    <s v="prise de poids/savon de riz"/>
    <x v="3"/>
    <m/>
    <n v="1"/>
    <m/>
    <n v="15000"/>
    <n v="2500"/>
    <n v="0"/>
    <n v="4554529"/>
  </r>
  <r>
    <x v="32"/>
    <s v="Thamarati"/>
    <s v="glorysmile"/>
    <x v="9"/>
    <m/>
    <m/>
    <n v="0.02"/>
    <m/>
    <m/>
    <n v="0"/>
    <n v="4348553"/>
  </r>
  <r>
    <x v="32"/>
    <s v="Mufti"/>
    <s v="prise de poids/attote"/>
    <x v="8"/>
    <m/>
    <m/>
    <m/>
    <m/>
    <m/>
    <n v="0"/>
    <n v="4586158"/>
  </r>
  <r>
    <x v="32"/>
    <s v="Hadidja"/>
    <s v="parfum de bouche"/>
    <x v="12"/>
    <m/>
    <n v="1"/>
    <n v="0.05"/>
    <n v="4000"/>
    <n v="1000"/>
    <n v="0"/>
    <n v="4561858"/>
  </r>
  <r>
    <x v="32"/>
    <s v="Raina"/>
    <s v="jel orange"/>
    <x v="14"/>
    <m/>
    <m/>
    <m/>
    <m/>
    <m/>
    <n v="0"/>
    <n v="4587211"/>
  </r>
  <r>
    <x v="32"/>
    <s v="lutfia"/>
    <s v="glorysmile/savon au riz"/>
    <x v="15"/>
    <m/>
    <m/>
    <m/>
    <m/>
    <m/>
    <n v="0"/>
    <n v="4221767"/>
  </r>
  <r>
    <x v="32"/>
    <s v="fayrati"/>
    <s v="huile/glorysmile/savon au riz"/>
    <x v="18"/>
    <m/>
    <m/>
    <m/>
    <m/>
    <m/>
    <n v="0"/>
    <n v="4463888"/>
  </r>
  <r>
    <x v="32"/>
    <s v="Mariame"/>
    <s v="NA"/>
    <x v="17"/>
    <n v="1"/>
    <m/>
    <n v="0.18"/>
    <m/>
    <m/>
    <n v="0"/>
    <n v="4080782"/>
  </r>
  <r>
    <x v="32"/>
    <s v="riwad"/>
    <s v="poudre de poids/savon au riz"/>
    <x v="19"/>
    <m/>
    <m/>
    <m/>
    <m/>
    <m/>
    <n v="0"/>
    <n v="4559847"/>
  </r>
  <r>
    <x v="32"/>
    <s v="Asna"/>
    <s v="glorysmile"/>
    <x v="6"/>
    <m/>
    <m/>
    <m/>
    <m/>
    <m/>
    <n v="0"/>
    <n v="4541035"/>
  </r>
  <r>
    <x v="32"/>
    <s v="balmata"/>
    <s v="prise de poids /savon au riz"/>
    <x v="20"/>
    <m/>
    <m/>
    <m/>
    <m/>
    <m/>
    <n v="0"/>
    <n v="4636761"/>
  </r>
  <r>
    <x v="32"/>
    <s v="lutfat"/>
    <s v="jel orange/prise de poids"/>
    <x v="21"/>
    <m/>
    <n v="1"/>
    <m/>
    <n v="12500"/>
    <n v="2500"/>
    <n v="0"/>
    <n v="4636772"/>
  </r>
  <r>
    <x v="32"/>
    <s v="hamida"/>
    <s v="savon au riz/prise de poids"/>
    <x v="22"/>
    <m/>
    <m/>
    <m/>
    <m/>
    <m/>
    <n v="0"/>
    <n v="3947053"/>
  </r>
  <r>
    <x v="32"/>
    <s v="nayla"/>
    <s v="jel orange /savon orange"/>
    <x v="23"/>
    <m/>
    <m/>
    <n v="0.06"/>
    <m/>
    <m/>
    <n v="0"/>
    <n v="4587817"/>
  </r>
  <r>
    <x v="32"/>
    <s v="suraya"/>
    <s v="prise de poids/the minceur"/>
    <x v="24"/>
    <n v="3"/>
    <n v="2"/>
    <n v="0.19"/>
    <n v="25000"/>
    <n v="5000"/>
    <n v="0.66666666666666663"/>
    <n v="3330821"/>
  </r>
  <r>
    <x v="32"/>
    <s v="coach"/>
    <s v="moto"/>
    <x v="25"/>
    <m/>
    <m/>
    <m/>
    <m/>
    <m/>
    <n v="0"/>
    <n v="4090831"/>
  </r>
  <r>
    <x v="32"/>
    <s v="malika"/>
    <s v="glorysmile/gel orange"/>
    <x v="26"/>
    <m/>
    <m/>
    <m/>
    <m/>
    <m/>
    <n v="0"/>
    <n v="4209873"/>
  </r>
  <r>
    <x v="32"/>
    <s v="rabianti"/>
    <s v="glorysmile/gel orange"/>
    <x v="27"/>
    <n v="2"/>
    <m/>
    <m/>
    <m/>
    <m/>
    <n v="0"/>
    <n v="4937885"/>
  </r>
  <r>
    <x v="33"/>
    <s v="Boutique de Soin"/>
    <s v="jel orange"/>
    <x v="0"/>
    <n v="16"/>
    <m/>
    <n v="2.6"/>
    <m/>
    <m/>
    <n v="0"/>
    <n v="4316190"/>
  </r>
  <r>
    <x v="33"/>
    <s v="Ben Store"/>
    <s v="prise de poids/savon de riz"/>
    <x v="3"/>
    <n v="37"/>
    <n v="2"/>
    <n v="2.69"/>
    <n v="25000"/>
    <n v="5000"/>
    <n v="5.4054054054054057E-2"/>
    <n v="4554529"/>
  </r>
  <r>
    <x v="33"/>
    <s v="Thamarati"/>
    <s v="glorysmile"/>
    <x v="9"/>
    <n v="12"/>
    <n v="1"/>
    <n v="2.92"/>
    <n v="10000"/>
    <n v="2500"/>
    <n v="8.3333333333333329E-2"/>
    <n v="4348553"/>
  </r>
  <r>
    <x v="33"/>
    <s v="Mufti"/>
    <s v="prise de poids/attote"/>
    <x v="8"/>
    <n v="19"/>
    <m/>
    <n v="2.88"/>
    <m/>
    <m/>
    <n v="0"/>
    <n v="4586158"/>
  </r>
  <r>
    <x v="33"/>
    <s v="Hadidja"/>
    <s v="parfum de bouche"/>
    <x v="12"/>
    <n v="15"/>
    <m/>
    <n v="2.91"/>
    <m/>
    <m/>
    <n v="0"/>
    <n v="4561858"/>
  </r>
  <r>
    <x v="33"/>
    <s v="Raina"/>
    <s v="jel orange"/>
    <x v="14"/>
    <n v="15"/>
    <n v="3"/>
    <n v="3.11"/>
    <n v="12000"/>
    <n v="3000"/>
    <n v="0.2"/>
    <n v="4587211"/>
  </r>
  <r>
    <x v="33"/>
    <s v="lutfia"/>
    <s v="glorysmile/savon au riz"/>
    <x v="15"/>
    <n v="32"/>
    <m/>
    <n v="2.84"/>
    <m/>
    <m/>
    <n v="0"/>
    <n v="4221767"/>
  </r>
  <r>
    <x v="33"/>
    <s v="fayrati"/>
    <s v="huile/glorysmile/savon au riz"/>
    <x v="18"/>
    <n v="11"/>
    <m/>
    <n v="2.8"/>
    <m/>
    <m/>
    <n v="0"/>
    <n v="4463888"/>
  </r>
  <r>
    <x v="33"/>
    <s v="Mariame"/>
    <s v="NA"/>
    <x v="17"/>
    <n v="18"/>
    <m/>
    <n v="3.36"/>
    <m/>
    <m/>
    <n v="0"/>
    <n v="4080782"/>
  </r>
  <r>
    <x v="33"/>
    <s v="riwad"/>
    <s v="poudre de poids/savon au riz"/>
    <x v="19"/>
    <n v="24"/>
    <n v="5"/>
    <n v="2.61"/>
    <n v="34500"/>
    <n v="8000"/>
    <n v="0.20833333333333334"/>
    <n v="4559847"/>
  </r>
  <r>
    <x v="33"/>
    <s v="Asna"/>
    <s v="glorysmile"/>
    <x v="6"/>
    <n v="14"/>
    <m/>
    <n v="2.57"/>
    <m/>
    <m/>
    <n v="0"/>
    <n v="4541035"/>
  </r>
  <r>
    <x v="33"/>
    <s v="balmata"/>
    <s v="prise de poids /savon au riz"/>
    <x v="20"/>
    <n v="16"/>
    <m/>
    <n v="2.5299999999999998"/>
    <m/>
    <m/>
    <n v="0"/>
    <n v="4636761"/>
  </r>
  <r>
    <x v="33"/>
    <s v="lutfat"/>
    <s v="jel orange/prise de poids"/>
    <x v="21"/>
    <n v="20"/>
    <n v="2"/>
    <n v="2.83"/>
    <n v="16500"/>
    <n v="3500"/>
    <n v="0.1"/>
    <n v="4636772"/>
  </r>
  <r>
    <x v="33"/>
    <s v="hamida"/>
    <s v="savon au riz/prise de poids"/>
    <x v="22"/>
    <n v="72"/>
    <m/>
    <n v="2.77"/>
    <m/>
    <m/>
    <n v="0"/>
    <n v="3947053"/>
  </r>
  <r>
    <x v="33"/>
    <s v="nayla"/>
    <s v="jel orange /savon orange"/>
    <x v="23"/>
    <n v="16"/>
    <m/>
    <n v="2.6"/>
    <m/>
    <m/>
    <n v="0"/>
    <n v="4587817"/>
  </r>
  <r>
    <x v="33"/>
    <s v="suraya"/>
    <s v="prise de poids/the minceur"/>
    <x v="24"/>
    <n v="21"/>
    <n v="1"/>
    <n v="2.57"/>
    <n v="17500"/>
    <n v="2500"/>
    <n v="4.7619047619047616E-2"/>
    <n v="3330821"/>
  </r>
  <r>
    <x v="33"/>
    <s v="coach"/>
    <s v="moto"/>
    <x v="25"/>
    <n v="21"/>
    <m/>
    <n v="2.2599999999999998"/>
    <m/>
    <m/>
    <n v="0"/>
    <n v="4090831"/>
  </r>
  <r>
    <x v="33"/>
    <s v="malika"/>
    <s v="glorysmile/gel orange"/>
    <x v="26"/>
    <n v="11"/>
    <n v="1"/>
    <n v="2.77"/>
    <n v="12500"/>
    <n v="2500"/>
    <n v="9.0909090909090912E-2"/>
    <n v="4209873"/>
  </r>
  <r>
    <x v="33"/>
    <s v="rabianti"/>
    <s v="glorysmile/gel orange"/>
    <x v="27"/>
    <n v="69"/>
    <n v="1"/>
    <n v="2.96"/>
    <n v="12500"/>
    <n v="2500"/>
    <n v="1.4492753623188406E-2"/>
    <n v="4937885"/>
  </r>
  <r>
    <x v="34"/>
    <s v="Boutique de Soin"/>
    <s v="jel orange"/>
    <x v="0"/>
    <n v="11"/>
    <n v="1"/>
    <n v="1.86"/>
    <n v="11000"/>
    <n v="2500"/>
    <n v="9.0909090909090912E-2"/>
    <n v="4316190"/>
  </r>
  <r>
    <x v="34"/>
    <s v="Ben Store"/>
    <s v="prise de poids/savon de riz"/>
    <x v="3"/>
    <n v="24"/>
    <n v="3"/>
    <n v="1.86"/>
    <n v="36000"/>
    <n v="7500"/>
    <n v="0.125"/>
    <n v="4554529"/>
  </r>
  <r>
    <x v="34"/>
    <s v="Thamarati"/>
    <s v="glorysmile"/>
    <x v="9"/>
    <n v="15"/>
    <n v="2"/>
    <n v="1.62"/>
    <n v="21000"/>
    <n v="5000"/>
    <n v="0.13333333333333333"/>
    <n v="4348553"/>
  </r>
  <r>
    <x v="34"/>
    <s v="Mufti"/>
    <s v="prise de poids/attote"/>
    <x v="8"/>
    <n v="4"/>
    <m/>
    <n v="1.41"/>
    <m/>
    <m/>
    <n v="0"/>
    <n v="4586158"/>
  </r>
  <r>
    <x v="34"/>
    <s v="Hadidja"/>
    <s v="parfum de bouche"/>
    <x v="12"/>
    <n v="9"/>
    <n v="2"/>
    <n v="1.88"/>
    <n v="23500"/>
    <n v="5000"/>
    <n v="0.22222222222222221"/>
    <n v="4561858"/>
  </r>
  <r>
    <x v="34"/>
    <s v="Raina"/>
    <s v="jel orange"/>
    <x v="14"/>
    <n v="8"/>
    <n v="2"/>
    <n v="2.04"/>
    <n v="6000"/>
    <n v="2000"/>
    <n v="0.25"/>
    <n v="4587211"/>
  </r>
  <r>
    <x v="34"/>
    <s v="lutfia"/>
    <s v="glorysmile/savon au riz"/>
    <x v="15"/>
    <n v="9"/>
    <n v="2"/>
    <n v="1.53"/>
    <n v="8000"/>
    <n v="2000"/>
    <n v="0.22222222222222221"/>
    <n v="4221767"/>
  </r>
  <r>
    <x v="34"/>
    <s v="fayrati"/>
    <s v="huile/glorysmile/savon au riz"/>
    <x v="18"/>
    <n v="7"/>
    <m/>
    <n v="1.46"/>
    <m/>
    <m/>
    <n v="0"/>
    <n v="4463888"/>
  </r>
  <r>
    <x v="34"/>
    <s v="Mariame"/>
    <s v="NA"/>
    <x v="17"/>
    <n v="6"/>
    <n v="2"/>
    <n v="1.99"/>
    <n v="15000"/>
    <n v="3500"/>
    <n v="0.33333333333333331"/>
    <n v="4080782"/>
  </r>
  <r>
    <x v="34"/>
    <s v="riwad"/>
    <s v="poudre de poids/savon au riz"/>
    <x v="19"/>
    <n v="12"/>
    <n v="2"/>
    <n v="2"/>
    <n v="28500"/>
    <n v="5000"/>
    <n v="0.16666666666666666"/>
    <n v="4559847"/>
  </r>
  <r>
    <x v="34"/>
    <s v="Asna"/>
    <s v="glorysmile"/>
    <x v="6"/>
    <n v="8"/>
    <m/>
    <n v="1.62"/>
    <m/>
    <m/>
    <n v="0"/>
    <n v="4541035"/>
  </r>
  <r>
    <x v="34"/>
    <s v="balmata"/>
    <s v="prise de poids /savon au riz"/>
    <x v="20"/>
    <n v="18"/>
    <m/>
    <n v="1.87"/>
    <m/>
    <m/>
    <n v="0"/>
    <n v="4636761"/>
  </r>
  <r>
    <x v="34"/>
    <s v="lutfat"/>
    <s v="jel orange/prise de poids"/>
    <x v="21"/>
    <n v="19"/>
    <n v="2"/>
    <n v="2.0699999999999998"/>
    <n v="22000"/>
    <n v="5000"/>
    <n v="0.10526315789473684"/>
    <n v="4636772"/>
  </r>
  <r>
    <x v="34"/>
    <s v="hamida"/>
    <s v="savon au riz/prise de poids"/>
    <x v="22"/>
    <n v="38"/>
    <n v="5"/>
    <n v="1.81"/>
    <n v="42500"/>
    <n v="9500"/>
    <n v="0.13157894736842105"/>
    <n v="3947053"/>
  </r>
  <r>
    <x v="34"/>
    <s v="nayla"/>
    <s v="jel orange /savon orange"/>
    <x v="23"/>
    <n v="16"/>
    <n v="4"/>
    <n v="2.2000000000000002"/>
    <n v="36500"/>
    <n v="7500"/>
    <n v="0.25"/>
    <n v="4587817"/>
  </r>
  <r>
    <x v="34"/>
    <s v="suraya"/>
    <s v="prise de poids/the minceur"/>
    <x v="24"/>
    <n v="2"/>
    <m/>
    <n v="0.43"/>
    <m/>
    <m/>
    <n v="0"/>
    <n v="3330821"/>
  </r>
  <r>
    <x v="34"/>
    <s v="coach"/>
    <s v="moto"/>
    <x v="25"/>
    <n v="26"/>
    <m/>
    <n v="2.19"/>
    <m/>
    <m/>
    <n v="0"/>
    <n v="4090831"/>
  </r>
  <r>
    <x v="34"/>
    <s v="malika"/>
    <s v="glorysmile/gel orange"/>
    <x v="26"/>
    <n v="15"/>
    <n v="1"/>
    <n v="2.1800000000000002"/>
    <n v="5000"/>
    <n v="1000"/>
    <n v="6.6666666666666666E-2"/>
    <n v="4209873"/>
  </r>
  <r>
    <x v="34"/>
    <s v="rabianti"/>
    <s v="glorysmile/gel orange"/>
    <x v="27"/>
    <n v="30"/>
    <n v="4"/>
    <n v="1.61"/>
    <n v="40000"/>
    <n v="8500"/>
    <n v="0.13333333333333333"/>
    <n v="4937885"/>
  </r>
  <r>
    <x v="35"/>
    <s v="Boutique de Soin"/>
    <s v="jel orange"/>
    <x v="0"/>
    <n v="8"/>
    <n v="1"/>
    <n v="0.86"/>
    <n v="15000"/>
    <n v="2500"/>
    <n v="0.125"/>
    <n v="4316190"/>
  </r>
  <r>
    <x v="35"/>
    <s v="Ben Store"/>
    <s v="prise de poids/savon de riz"/>
    <x v="3"/>
    <n v="8"/>
    <n v="3"/>
    <n v="0.87"/>
    <n v="26000"/>
    <n v="6000"/>
    <n v="0.375"/>
    <n v="4554529"/>
  </r>
  <r>
    <x v="35"/>
    <s v="Thamarati"/>
    <s v="glorysmile"/>
    <x v="9"/>
    <n v="5"/>
    <m/>
    <n v="0.34"/>
    <m/>
    <m/>
    <n v="0"/>
    <n v="4348553"/>
  </r>
  <r>
    <x v="35"/>
    <s v="Mufti"/>
    <s v="prise de poids/attote"/>
    <x v="8"/>
    <n v="1"/>
    <m/>
    <n v="0.17"/>
    <m/>
    <m/>
    <n v="0"/>
    <n v="4586158"/>
  </r>
  <r>
    <x v="35"/>
    <s v="Hadidja"/>
    <s v="parfum de bouche"/>
    <x v="12"/>
    <n v="3"/>
    <n v="3"/>
    <n v="0.71"/>
    <n v="19000"/>
    <n v="4500"/>
    <n v="1"/>
    <n v="4561858"/>
  </r>
  <r>
    <x v="35"/>
    <s v="Raina"/>
    <s v="jel orange"/>
    <x v="14"/>
    <n v="2"/>
    <m/>
    <n v="0.71"/>
    <m/>
    <m/>
    <n v="0"/>
    <n v="4587211"/>
  </r>
  <r>
    <x v="35"/>
    <s v="lutfia"/>
    <s v="glorysmile/savon au riz"/>
    <x v="15"/>
    <n v="5"/>
    <n v="3"/>
    <n v="0.31"/>
    <n v="12000"/>
    <n v="3000"/>
    <n v="0.6"/>
    <n v="4221767"/>
  </r>
  <r>
    <x v="35"/>
    <s v="fayrati"/>
    <s v="huile/glorysmile/savon au riz"/>
    <x v="18"/>
    <n v="4"/>
    <m/>
    <n v="0.36"/>
    <m/>
    <m/>
    <n v="0"/>
    <n v="4463888"/>
  </r>
  <r>
    <x v="35"/>
    <s v="Mariame"/>
    <s v="NA"/>
    <x v="17"/>
    <n v="3"/>
    <m/>
    <n v="0.38"/>
    <m/>
    <m/>
    <n v="0"/>
    <n v="4080782"/>
  </r>
  <r>
    <x v="35"/>
    <s v="riwad"/>
    <s v="poudre de poids/savon au riz"/>
    <x v="19"/>
    <n v="5"/>
    <n v="2"/>
    <n v="0.32"/>
    <n v="8000"/>
    <n v="2000"/>
    <n v="0.4"/>
    <n v="4559847"/>
  </r>
  <r>
    <x v="35"/>
    <s v="Asna"/>
    <s v="glorysmile"/>
    <x v="6"/>
    <n v="2"/>
    <m/>
    <n v="0.17"/>
    <m/>
    <m/>
    <n v="0"/>
    <n v="4541035"/>
  </r>
  <r>
    <x v="35"/>
    <s v="balmata"/>
    <s v="prise de poids /savon au riz"/>
    <x v="20"/>
    <n v="10"/>
    <m/>
    <n v="0.8"/>
    <m/>
    <m/>
    <n v="0"/>
    <n v="4636761"/>
  </r>
  <r>
    <x v="35"/>
    <s v="lutfat"/>
    <s v="jel orange/prise de poids"/>
    <x v="21"/>
    <m/>
    <n v="6"/>
    <n v="0.91"/>
    <n v="50500"/>
    <n v="12000"/>
    <n v="0"/>
    <n v="4636772"/>
  </r>
  <r>
    <x v="35"/>
    <s v="hamida"/>
    <s v="savon au riz/prise de poids"/>
    <x v="22"/>
    <n v="20"/>
    <m/>
    <n v="2.35"/>
    <m/>
    <m/>
    <n v="0"/>
    <n v="3947053"/>
  </r>
  <r>
    <x v="35"/>
    <s v="nayla"/>
    <s v="jel orange /savon orange"/>
    <x v="23"/>
    <n v="13"/>
    <m/>
    <n v="1.07"/>
    <m/>
    <m/>
    <n v="0"/>
    <n v="4587817"/>
  </r>
  <r>
    <x v="35"/>
    <s v="suraya"/>
    <s v="prise de poids/the minceur"/>
    <x v="24"/>
    <n v="2"/>
    <m/>
    <n v="0.51"/>
    <m/>
    <m/>
    <n v="0"/>
    <n v="3330821"/>
  </r>
  <r>
    <x v="35"/>
    <s v="coach"/>
    <s v="moto"/>
    <x v="25"/>
    <n v="1"/>
    <m/>
    <n v="0.04"/>
    <m/>
    <m/>
    <n v="0"/>
    <n v="4090831"/>
  </r>
  <r>
    <x v="35"/>
    <s v="malika"/>
    <s v="glorysmile/gel orange"/>
    <x v="26"/>
    <n v="2"/>
    <m/>
    <n v="0.51"/>
    <m/>
    <m/>
    <n v="0"/>
    <n v="4209873"/>
  </r>
  <r>
    <x v="35"/>
    <s v="rabianti"/>
    <s v="glorysmile/gel orange"/>
    <x v="27"/>
    <n v="7"/>
    <n v="1"/>
    <n v="0.89"/>
    <n v="11000"/>
    <n v="2500"/>
    <n v="0.14285714285714285"/>
    <n v="4937885"/>
  </r>
  <r>
    <x v="36"/>
    <s v="Boutique de Soin"/>
    <s v="jel orange"/>
    <x v="0"/>
    <n v="8"/>
    <m/>
    <n v="0.88"/>
    <m/>
    <m/>
    <n v="0"/>
    <n v="4316190"/>
  </r>
  <r>
    <x v="36"/>
    <s v="Ben Store"/>
    <s v="prise de poids/savon de riz"/>
    <x v="3"/>
    <n v="8"/>
    <m/>
    <n v="0.88"/>
    <m/>
    <m/>
    <n v="0"/>
    <n v="4554529"/>
  </r>
  <r>
    <x v="36"/>
    <s v="Thamarati"/>
    <s v="glorysmile"/>
    <x v="9"/>
    <n v="5"/>
    <m/>
    <n v="0.35"/>
    <m/>
    <m/>
    <n v="0"/>
    <n v="4348553"/>
  </r>
  <r>
    <x v="36"/>
    <s v="Mufti"/>
    <s v="prise de poids/attote"/>
    <x v="8"/>
    <m/>
    <m/>
    <n v="0.18"/>
    <m/>
    <m/>
    <n v="0"/>
    <n v="4586158"/>
  </r>
  <r>
    <x v="36"/>
    <s v="Hadidja"/>
    <s v="parfum de bouche"/>
    <x v="12"/>
    <n v="3"/>
    <m/>
    <n v="0.73"/>
    <m/>
    <m/>
    <n v="0"/>
    <n v="4561858"/>
  </r>
  <r>
    <x v="36"/>
    <s v="Raina"/>
    <s v="jel orange"/>
    <x v="14"/>
    <n v="2"/>
    <m/>
    <n v="0.71"/>
    <m/>
    <m/>
    <n v="0"/>
    <n v="4587211"/>
  </r>
  <r>
    <x v="36"/>
    <s v="lutfia"/>
    <s v="glorysmile/savon au riz"/>
    <x v="15"/>
    <n v="5"/>
    <m/>
    <n v="0.31"/>
    <m/>
    <m/>
    <n v="0"/>
    <n v="4221767"/>
  </r>
  <r>
    <x v="36"/>
    <s v="fayrati"/>
    <s v="huile/glorysmile/savon au riz"/>
    <x v="18"/>
    <n v="4"/>
    <m/>
    <n v="0.36"/>
    <m/>
    <m/>
    <n v="0"/>
    <n v="4463888"/>
  </r>
  <r>
    <x v="36"/>
    <s v="Mariame"/>
    <s v="NA"/>
    <x v="17"/>
    <n v="3"/>
    <m/>
    <n v="0.38"/>
    <m/>
    <m/>
    <n v="0"/>
    <n v="4080782"/>
  </r>
  <r>
    <x v="36"/>
    <s v="riwad"/>
    <s v="poudre de poids/savon au riz"/>
    <x v="19"/>
    <n v="5"/>
    <m/>
    <n v="0.33"/>
    <m/>
    <m/>
    <n v="0"/>
    <n v="4559847"/>
  </r>
  <r>
    <x v="36"/>
    <s v="Asna"/>
    <s v="glorysmile"/>
    <x v="6"/>
    <n v="2"/>
    <m/>
    <n v="0.17"/>
    <m/>
    <m/>
    <n v="0"/>
    <n v="4541035"/>
  </r>
  <r>
    <x v="36"/>
    <s v="balmata"/>
    <s v="prise de poids /savon au riz"/>
    <x v="20"/>
    <n v="10"/>
    <m/>
    <n v="0.82"/>
    <m/>
    <m/>
    <n v="0"/>
    <n v="4636761"/>
  </r>
  <r>
    <x v="36"/>
    <s v="lutfat"/>
    <s v="jel orange/prise de poids"/>
    <x v="21"/>
    <n v="3"/>
    <m/>
    <n v="0.93"/>
    <m/>
    <m/>
    <n v="0"/>
    <n v="4636772"/>
  </r>
  <r>
    <x v="36"/>
    <s v="hamida"/>
    <s v="savon au riz/prise de poids"/>
    <x v="22"/>
    <n v="20"/>
    <m/>
    <n v="2.42"/>
    <m/>
    <m/>
    <n v="0"/>
    <n v="3947053"/>
  </r>
  <r>
    <x v="36"/>
    <s v="nayla"/>
    <s v="jel orange /savon orange"/>
    <x v="23"/>
    <n v="13"/>
    <m/>
    <n v="1.07"/>
    <m/>
    <m/>
    <n v="0"/>
    <n v="4587817"/>
  </r>
  <r>
    <x v="36"/>
    <s v="suraya"/>
    <s v="prise de poids/the minceur"/>
    <x v="24"/>
    <n v="2"/>
    <m/>
    <n v="0.52"/>
    <m/>
    <m/>
    <n v="0"/>
    <n v="3330821"/>
  </r>
  <r>
    <x v="36"/>
    <s v="coach"/>
    <s v="moto"/>
    <x v="25"/>
    <n v="1"/>
    <m/>
    <n v="0.04"/>
    <m/>
    <m/>
    <n v="0"/>
    <n v="4090831"/>
  </r>
  <r>
    <x v="36"/>
    <s v="malika"/>
    <s v="glorysmile/gel orange"/>
    <x v="26"/>
    <n v="5"/>
    <m/>
    <n v="0.51"/>
    <m/>
    <m/>
    <n v="0"/>
    <n v="4209873"/>
  </r>
  <r>
    <x v="36"/>
    <s v="rabianti"/>
    <s v="glorysmile/gel orange"/>
    <x v="27"/>
    <n v="7"/>
    <m/>
    <n v="0.92"/>
    <m/>
    <m/>
    <n v="0"/>
    <n v="4937885"/>
  </r>
  <r>
    <x v="37"/>
    <s v="Boutique de Soin"/>
    <s v="jel orange"/>
    <x v="0"/>
    <n v="39"/>
    <n v="3"/>
    <n v="3.28"/>
    <n v="37000"/>
    <n v="7500"/>
    <n v="7.6923076923076927E-2"/>
    <n v="4316190"/>
  </r>
  <r>
    <x v="37"/>
    <s v="Ben Store"/>
    <s v="prise de poids/savon de riz"/>
    <x v="3"/>
    <n v="77"/>
    <n v="3"/>
    <n v="1.27"/>
    <n v="38500"/>
    <n v="7500"/>
    <n v="3.896103896103896E-2"/>
    <n v="4554529"/>
  </r>
  <r>
    <x v="37"/>
    <s v="Thamarati"/>
    <s v="glorysmile"/>
    <x v="9"/>
    <n v="35"/>
    <n v="2"/>
    <n v="2.96"/>
    <n v="17000"/>
    <n v="5000"/>
    <n v="5.7142857142857141E-2"/>
    <n v="4348553"/>
  </r>
  <r>
    <x v="37"/>
    <s v="Mufti"/>
    <s v="prise de poids/attote"/>
    <x v="8"/>
    <n v="17"/>
    <n v="1"/>
    <n v="2.42"/>
    <n v="12500"/>
    <n v="2500"/>
    <n v="5.8823529411764705E-2"/>
    <n v="4586158"/>
  </r>
  <r>
    <x v="37"/>
    <s v="Hadidja"/>
    <s v="parfum de bouche"/>
    <x v="12"/>
    <n v="27"/>
    <n v="3"/>
    <n v="3.35"/>
    <n v="20500"/>
    <n v="3500"/>
    <n v="0.1111111111111111"/>
    <n v="4561858"/>
  </r>
  <r>
    <x v="37"/>
    <s v="Raina"/>
    <s v="jel orange"/>
    <x v="14"/>
    <n v="28"/>
    <n v="4"/>
    <n v="3.73"/>
    <n v="16000"/>
    <n v="4000"/>
    <n v="0.14285714285714285"/>
    <n v="4587211"/>
  </r>
  <r>
    <x v="37"/>
    <s v="lutfia"/>
    <s v="glorysmile/savon au riz"/>
    <x v="15"/>
    <n v="36"/>
    <n v="4"/>
    <n v="2.58"/>
    <n v="32000"/>
    <n v="7000"/>
    <n v="0.1111111111111111"/>
    <n v="4221767"/>
  </r>
  <r>
    <x v="37"/>
    <s v="fayrati"/>
    <s v="huile/glorysmile/savon au riz"/>
    <x v="18"/>
    <n v="12"/>
    <m/>
    <n v="2.42"/>
    <m/>
    <m/>
    <n v="0"/>
    <n v="4463888"/>
  </r>
  <r>
    <x v="37"/>
    <s v="Mariame"/>
    <s v="NA"/>
    <x v="17"/>
    <m/>
    <m/>
    <m/>
    <m/>
    <m/>
    <n v="0"/>
    <n v="4080782"/>
  </r>
  <r>
    <x v="37"/>
    <s v="riwad"/>
    <s v="poudre de poids/savon au riz"/>
    <x v="19"/>
    <n v="30"/>
    <n v="2"/>
    <n v="2.68"/>
    <n v="15000"/>
    <n v="2500"/>
    <n v="6.6666666666666666E-2"/>
    <n v="4559847"/>
  </r>
  <r>
    <x v="37"/>
    <s v="Asna"/>
    <s v="glorysmile"/>
    <x v="6"/>
    <n v="24"/>
    <m/>
    <n v="2.4300000000000002"/>
    <m/>
    <m/>
    <n v="0"/>
    <n v="4541035"/>
  </r>
  <r>
    <x v="37"/>
    <s v="balmata"/>
    <s v="prise de poids /savon au riz"/>
    <x v="20"/>
    <n v="32"/>
    <n v="5"/>
    <n v="2.67"/>
    <n v="35500"/>
    <n v="8000"/>
    <n v="0.15625"/>
    <n v="4636761"/>
  </r>
  <r>
    <x v="37"/>
    <s v="lutfat"/>
    <s v="jel orange/prise de poids"/>
    <x v="21"/>
    <n v="35"/>
    <n v="1"/>
    <n v="3.63"/>
    <n v="15000"/>
    <n v="2500"/>
    <n v="2.8571428571428571E-2"/>
    <n v="4636772"/>
  </r>
  <r>
    <x v="37"/>
    <s v="hamida"/>
    <s v="savon au riz/prise de poids"/>
    <x v="22"/>
    <n v="75"/>
    <m/>
    <n v="1.62"/>
    <m/>
    <m/>
    <n v="0"/>
    <n v="3947053"/>
  </r>
  <r>
    <x v="37"/>
    <s v="nayla"/>
    <s v="jel orange /savon orange"/>
    <x v="23"/>
    <n v="21"/>
    <n v="1"/>
    <n v="2.1"/>
    <n v="4000"/>
    <n v="1000"/>
    <n v="4.7619047619047616E-2"/>
    <n v="4587817"/>
  </r>
  <r>
    <x v="37"/>
    <s v="suraya"/>
    <s v="prise de poids/the minceur"/>
    <x v="24"/>
    <n v="18"/>
    <n v="1"/>
    <n v="2.44"/>
    <n v="15000"/>
    <n v="2500"/>
    <n v="5.5555555555555552E-2"/>
    <n v="3330821"/>
  </r>
  <r>
    <x v="37"/>
    <s v="coach"/>
    <s v="moto"/>
    <x v="25"/>
    <n v="28"/>
    <m/>
    <n v="2.11"/>
    <m/>
    <m/>
    <n v="0"/>
    <n v="4090831"/>
  </r>
  <r>
    <x v="37"/>
    <s v="malika"/>
    <s v="glorysmile/gel orange"/>
    <x v="26"/>
    <n v="25"/>
    <n v="6"/>
    <n v="2.3199999999999998"/>
    <n v="59000"/>
    <n v="8000"/>
    <n v="0.24"/>
    <n v="4209873"/>
  </r>
  <r>
    <x v="37"/>
    <s v="rabianti"/>
    <s v="glorysmile/gel orange"/>
    <x v="27"/>
    <n v="22"/>
    <m/>
    <n v="2.7"/>
    <m/>
    <m/>
    <n v="0"/>
    <n v="4937885"/>
  </r>
  <r>
    <x v="38"/>
    <s v="Boutique de Soin"/>
    <s v="jel orange"/>
    <x v="0"/>
    <n v="20"/>
    <n v="3"/>
    <n v="2.2200000000000002"/>
    <n v="29000"/>
    <n v="4000"/>
    <n v="0.15"/>
    <n v="4316190"/>
  </r>
  <r>
    <x v="38"/>
    <s v="Ben Store"/>
    <s v="prise de poids/savon de riz"/>
    <x v="3"/>
    <n v="26"/>
    <n v="2"/>
    <n v="2.2000000000000002"/>
    <n v="9000"/>
    <n v="2000"/>
    <n v="7.6923076923076927E-2"/>
    <n v="4554529"/>
  </r>
  <r>
    <x v="38"/>
    <s v="Thamarati"/>
    <s v="glorysmile"/>
    <x v="9"/>
    <m/>
    <m/>
    <m/>
    <m/>
    <m/>
    <n v="0"/>
    <n v="4348553"/>
  </r>
  <r>
    <x v="38"/>
    <s v="Mufti"/>
    <s v="prise de poids/attote"/>
    <x v="8"/>
    <m/>
    <m/>
    <m/>
    <m/>
    <m/>
    <n v="0"/>
    <n v="4586158"/>
  </r>
  <r>
    <x v="38"/>
    <s v="Hadidja"/>
    <s v="parfum de bouche"/>
    <x v="12"/>
    <m/>
    <n v="2"/>
    <m/>
    <n v="34000"/>
    <n v="4000"/>
    <n v="0"/>
    <n v="4561858"/>
  </r>
  <r>
    <x v="38"/>
    <s v="Raina"/>
    <s v="jel orange"/>
    <x v="14"/>
    <m/>
    <n v="2"/>
    <m/>
    <n v="8000"/>
    <n v="2000"/>
    <n v="0"/>
    <n v="4587211"/>
  </r>
  <r>
    <x v="38"/>
    <s v="lutfia"/>
    <s v="glorysmile/savon au riz"/>
    <x v="15"/>
    <m/>
    <n v="3"/>
    <m/>
    <n v="20500"/>
    <n v="3000"/>
    <n v="0"/>
    <n v="4221767"/>
  </r>
  <r>
    <x v="38"/>
    <s v="fayrati"/>
    <s v="huile/glorysmile/savon au riz"/>
    <x v="18"/>
    <n v="10"/>
    <m/>
    <n v="1.98"/>
    <m/>
    <m/>
    <n v="0"/>
    <n v="4463888"/>
  </r>
  <r>
    <x v="38"/>
    <s v="Mariame"/>
    <s v="NA"/>
    <x v="17"/>
    <m/>
    <m/>
    <m/>
    <m/>
    <m/>
    <n v="0"/>
    <n v="4080782"/>
  </r>
  <r>
    <x v="38"/>
    <s v="riwad"/>
    <s v="poudre de poids/savon au riz"/>
    <x v="19"/>
    <n v="20"/>
    <m/>
    <n v="1.82"/>
    <m/>
    <m/>
    <n v="0"/>
    <n v="4559847"/>
  </r>
  <r>
    <x v="38"/>
    <s v="Asna"/>
    <s v="glorysmile"/>
    <x v="6"/>
    <m/>
    <m/>
    <m/>
    <m/>
    <m/>
    <n v="0"/>
    <n v="4541035"/>
  </r>
  <r>
    <x v="38"/>
    <s v="balmata"/>
    <s v="prise de poids /savon au riz"/>
    <x v="20"/>
    <n v="9"/>
    <m/>
    <n v="1.89"/>
    <m/>
    <m/>
    <n v="0"/>
    <n v="4636761"/>
  </r>
  <r>
    <x v="38"/>
    <s v="lutfat"/>
    <s v="jel orange/prise de poids"/>
    <x v="21"/>
    <n v="24"/>
    <n v="4"/>
    <n v="1.44"/>
    <n v="41500"/>
    <n v="7500"/>
    <n v="0.16666666666666666"/>
    <n v="4636772"/>
  </r>
  <r>
    <x v="38"/>
    <s v="hamida"/>
    <s v="savon au riz/prise de poids"/>
    <x v="22"/>
    <n v="9"/>
    <m/>
    <n v="2.02"/>
    <m/>
    <m/>
    <n v="0"/>
    <n v="3947053"/>
  </r>
  <r>
    <x v="38"/>
    <s v="nayla"/>
    <s v="jel orange /savon orange"/>
    <x v="23"/>
    <m/>
    <n v="1"/>
    <m/>
    <n v="4000"/>
    <n v="1000"/>
    <n v="0"/>
    <n v="4587817"/>
  </r>
  <r>
    <x v="38"/>
    <s v="suraya"/>
    <s v="prise de poids/the minceur"/>
    <x v="24"/>
    <m/>
    <n v="1"/>
    <m/>
    <n v="8500"/>
    <n v="2500"/>
    <n v="0"/>
    <n v="3330821"/>
  </r>
  <r>
    <x v="38"/>
    <s v="coach"/>
    <s v="moto"/>
    <x v="25"/>
    <m/>
    <m/>
    <m/>
    <m/>
    <m/>
    <n v="0"/>
    <n v="4090831"/>
  </r>
  <r>
    <x v="38"/>
    <s v="malika"/>
    <s v="glorysmile/gel orange"/>
    <x v="26"/>
    <m/>
    <n v="2"/>
    <m/>
    <n v="21500"/>
    <n v="4000"/>
    <n v="0"/>
    <n v="4209873"/>
  </r>
  <r>
    <x v="38"/>
    <s v="rabianti"/>
    <s v="glorysmile/gel orange"/>
    <x v="27"/>
    <m/>
    <n v="1"/>
    <m/>
    <n v="4000"/>
    <n v="1000"/>
    <n v="0"/>
    <n v="4937885"/>
  </r>
  <r>
    <x v="39"/>
    <s v="Boutique de Soin"/>
    <s v="jel orange"/>
    <x v="0"/>
    <n v="33"/>
    <m/>
    <n v="2.4300000000000002"/>
    <m/>
    <m/>
    <n v="0"/>
    <n v="4316190"/>
  </r>
  <r>
    <x v="39"/>
    <s v="Ben Store"/>
    <s v="prise de poids/savon de riz"/>
    <x v="3"/>
    <n v="58"/>
    <m/>
    <n v="2.15"/>
    <m/>
    <m/>
    <n v="0"/>
    <n v="4554529"/>
  </r>
  <r>
    <x v="39"/>
    <s v="Thamarati"/>
    <s v="glorysmile"/>
    <x v="9"/>
    <n v="77"/>
    <m/>
    <n v="3.09"/>
    <m/>
    <m/>
    <n v="0"/>
    <n v="4348553"/>
  </r>
  <r>
    <x v="39"/>
    <s v="Mufti"/>
    <s v="prise de poids/attote"/>
    <x v="8"/>
    <n v="34"/>
    <m/>
    <n v="3.61"/>
    <m/>
    <m/>
    <n v="0"/>
    <n v="4586158"/>
  </r>
  <r>
    <x v="39"/>
    <s v="Hadidja"/>
    <s v="parfum de bouche"/>
    <x v="12"/>
    <n v="15"/>
    <m/>
    <n v="2.97"/>
    <m/>
    <m/>
    <n v="0"/>
    <n v="4561858"/>
  </r>
  <r>
    <x v="39"/>
    <s v="Raina"/>
    <s v="jel orange"/>
    <x v="14"/>
    <n v="21"/>
    <m/>
    <n v="2.95"/>
    <m/>
    <m/>
    <n v="0"/>
    <n v="4587211"/>
  </r>
  <r>
    <x v="39"/>
    <s v="lutfia"/>
    <s v="glorysmile/savon au riz"/>
    <x v="15"/>
    <n v="26"/>
    <m/>
    <n v="3"/>
    <m/>
    <m/>
    <n v="0"/>
    <n v="4221767"/>
  </r>
  <r>
    <x v="39"/>
    <s v="fayrati"/>
    <s v="huile/glorysmile/savon au riz"/>
    <x v="18"/>
    <n v="16"/>
    <m/>
    <n v="2.38"/>
    <m/>
    <m/>
    <n v="0"/>
    <n v="4463888"/>
  </r>
  <r>
    <x v="39"/>
    <s v="Mariame"/>
    <s v="NA"/>
    <x v="17"/>
    <m/>
    <m/>
    <m/>
    <m/>
    <m/>
    <n v="0"/>
    <n v="4080782"/>
  </r>
  <r>
    <x v="39"/>
    <s v="riwad"/>
    <s v="poudre de poids/savon au riz"/>
    <x v="19"/>
    <n v="43"/>
    <m/>
    <n v="2.86"/>
    <m/>
    <m/>
    <n v="0"/>
    <n v="4559847"/>
  </r>
  <r>
    <x v="39"/>
    <s v="Asna"/>
    <s v="glorysmile"/>
    <x v="6"/>
    <n v="17"/>
    <m/>
    <n v="2.38"/>
    <m/>
    <m/>
    <n v="0"/>
    <n v="4541035"/>
  </r>
  <r>
    <x v="39"/>
    <s v="balmata"/>
    <s v="prise de poids /savon au riz"/>
    <x v="20"/>
    <n v="32"/>
    <m/>
    <n v="2.5499999999999998"/>
    <m/>
    <m/>
    <n v="0"/>
    <n v="4636761"/>
  </r>
  <r>
    <x v="39"/>
    <s v="lutfat"/>
    <s v="jel orange/prise de poids"/>
    <x v="21"/>
    <n v="25"/>
    <m/>
    <n v="1.8"/>
    <m/>
    <m/>
    <n v="0"/>
    <n v="4636772"/>
  </r>
  <r>
    <x v="39"/>
    <s v="hamida"/>
    <s v="savon au riz/prise de poids"/>
    <x v="22"/>
    <n v="26"/>
    <m/>
    <n v="2.2599999999999998"/>
    <m/>
    <m/>
    <n v="0"/>
    <n v="3947053"/>
  </r>
  <r>
    <x v="39"/>
    <s v="nayla"/>
    <s v="jel orange /savon orange"/>
    <x v="23"/>
    <n v="38"/>
    <m/>
    <n v="3.64"/>
    <m/>
    <m/>
    <n v="0"/>
    <n v="4587817"/>
  </r>
  <r>
    <x v="39"/>
    <s v="suraya"/>
    <s v="prise de poids/the minceur"/>
    <x v="24"/>
    <n v="16"/>
    <m/>
    <n v="2.5299999999999998"/>
    <m/>
    <m/>
    <n v="0"/>
    <n v="3330821"/>
  </r>
  <r>
    <x v="39"/>
    <s v="coach"/>
    <s v="moto"/>
    <x v="25"/>
    <n v="30"/>
    <m/>
    <n v="2.68"/>
    <m/>
    <m/>
    <n v="0"/>
    <n v="4090831"/>
  </r>
  <r>
    <x v="39"/>
    <s v="malika"/>
    <s v="glorysmile/gel orange"/>
    <x v="26"/>
    <n v="19"/>
    <m/>
    <n v="2.83"/>
    <m/>
    <m/>
    <n v="0"/>
    <n v="4209873"/>
  </r>
  <r>
    <x v="39"/>
    <s v="rabianti"/>
    <s v="glorysmile/gel orange"/>
    <x v="27"/>
    <n v="7"/>
    <m/>
    <n v="2.89"/>
    <m/>
    <m/>
    <n v="0"/>
    <n v="4937885"/>
  </r>
  <r>
    <x v="40"/>
    <s v="Boutique de Soin"/>
    <s v="jel orange"/>
    <x v="0"/>
    <n v="28"/>
    <n v="1"/>
    <n v="1.55"/>
    <n v="4000"/>
    <n v="1000"/>
    <n v="3.5714285714285712E-2"/>
    <n v="4316190"/>
  </r>
  <r>
    <x v="40"/>
    <s v="Ben Store"/>
    <s v="prise de poids/savon de riz"/>
    <x v="3"/>
    <n v="6"/>
    <n v="4"/>
    <n v="0.17"/>
    <n v="33000"/>
    <n v="7000"/>
    <n v="0.66666666666666663"/>
    <n v="4554529"/>
  </r>
  <r>
    <x v="40"/>
    <s v="Thamarati"/>
    <s v="glorysmile"/>
    <x v="9"/>
    <n v="3"/>
    <n v="1"/>
    <n v="0"/>
    <n v="4000"/>
    <n v="1000"/>
    <n v="0.33333333333333331"/>
    <n v="4348553"/>
  </r>
  <r>
    <x v="40"/>
    <s v="Mufti"/>
    <s v="prise de poids/attote"/>
    <x v="8"/>
    <n v="18"/>
    <n v="6"/>
    <n v="1.61"/>
    <n v="49500"/>
    <n v="7500"/>
    <n v="0.33333333333333331"/>
    <n v="4586158"/>
  </r>
  <r>
    <x v="40"/>
    <s v="Hadidja"/>
    <s v="parfum de bouche"/>
    <x v="12"/>
    <n v="15"/>
    <n v="1"/>
    <n v="2.21"/>
    <n v="4000"/>
    <n v="1000"/>
    <n v="6.6666666666666666E-2"/>
    <n v="4561858"/>
  </r>
  <r>
    <x v="40"/>
    <s v="Raina"/>
    <s v="jel orange"/>
    <x v="14"/>
    <n v="27"/>
    <m/>
    <n v="2.11"/>
    <m/>
    <m/>
    <n v="0"/>
    <n v="4587211"/>
  </r>
  <r>
    <x v="40"/>
    <s v="lutfia"/>
    <s v="glorysmile/savon au riz"/>
    <x v="15"/>
    <n v="16"/>
    <m/>
    <n v="1.9"/>
    <m/>
    <m/>
    <n v="0"/>
    <n v="4221767"/>
  </r>
  <r>
    <x v="40"/>
    <s v="fayrati"/>
    <s v="huile/glorysmile/savon au riz"/>
    <x v="18"/>
    <n v="13"/>
    <n v="5"/>
    <n v="1.59"/>
    <n v="57000"/>
    <n v="12500"/>
    <n v="0.38461538461538464"/>
    <n v="4463888"/>
  </r>
  <r>
    <x v="40"/>
    <s v="Mariame"/>
    <s v="NA"/>
    <x v="17"/>
    <m/>
    <m/>
    <m/>
    <m/>
    <m/>
    <n v="0"/>
    <n v="4080782"/>
  </r>
  <r>
    <x v="40"/>
    <s v="riwad"/>
    <s v="poudre de poids/savon au riz"/>
    <x v="19"/>
    <n v="11"/>
    <n v="3"/>
    <n v="0.83"/>
    <n v="29000"/>
    <n v="4000"/>
    <n v="0.27272727272727271"/>
    <n v="4559847"/>
  </r>
  <r>
    <x v="40"/>
    <s v="Asna"/>
    <s v="glorysmile"/>
    <x v="6"/>
    <n v="20"/>
    <m/>
    <n v="1.87"/>
    <m/>
    <m/>
    <n v="0"/>
    <n v="4541035"/>
  </r>
  <r>
    <x v="40"/>
    <s v="balmata"/>
    <s v="prise de poids /savon au riz"/>
    <x v="20"/>
    <n v="13"/>
    <n v="2"/>
    <n v="1.63"/>
    <n v="23500"/>
    <n v="5000"/>
    <n v="0.15384615384615385"/>
    <n v="4636761"/>
  </r>
  <r>
    <x v="40"/>
    <s v="lutfat"/>
    <s v="jel orange/prise de poids"/>
    <x v="21"/>
    <n v="14"/>
    <n v="3"/>
    <n v="1.67"/>
    <n v="31500"/>
    <n v="5000"/>
    <n v="0.21428571428571427"/>
    <n v="4636772"/>
  </r>
  <r>
    <x v="40"/>
    <s v="hamida"/>
    <s v="savon au riz/prise de poids"/>
    <x v="22"/>
    <n v="22"/>
    <n v="1"/>
    <n v="1.34"/>
    <n v="3000"/>
    <n v="1000"/>
    <n v="4.5454545454545456E-2"/>
    <n v="3947053"/>
  </r>
  <r>
    <x v="40"/>
    <s v="nayla"/>
    <s v="jel orange /savon orange"/>
    <x v="23"/>
    <n v="21"/>
    <n v="4"/>
    <n v="1.68"/>
    <n v="16000"/>
    <n v="4000"/>
    <n v="0.19047619047619047"/>
    <n v="4587817"/>
  </r>
  <r>
    <x v="40"/>
    <s v="suraya"/>
    <s v="prise de poids/the minceur"/>
    <x v="24"/>
    <n v="20"/>
    <m/>
    <n v="1.86"/>
    <m/>
    <m/>
    <n v="0"/>
    <n v="3330821"/>
  </r>
  <r>
    <x v="40"/>
    <s v="coach"/>
    <s v="moto"/>
    <x v="25"/>
    <n v="27"/>
    <m/>
    <n v="1.84"/>
    <m/>
    <m/>
    <n v="0"/>
    <n v="4090831"/>
  </r>
  <r>
    <x v="40"/>
    <s v="malika"/>
    <s v="glorysmile/gel orange"/>
    <x v="26"/>
    <n v="13"/>
    <n v="4"/>
    <n v="1.97"/>
    <n v="24500"/>
    <n v="4500"/>
    <n v="0.30769230769230771"/>
    <n v="4209873"/>
  </r>
  <r>
    <x v="40"/>
    <s v="rabianti"/>
    <s v="glorysmile/gel orange"/>
    <x v="27"/>
    <n v="18"/>
    <n v="3"/>
    <n v="2.16"/>
    <n v="29000"/>
    <n v="4000"/>
    <n v="0.16666666666666666"/>
    <n v="4937885"/>
  </r>
  <r>
    <x v="41"/>
    <s v="Boutique de Soin"/>
    <s v="jel orange"/>
    <x v="0"/>
    <n v="0"/>
    <m/>
    <n v="0"/>
    <m/>
    <m/>
    <n v="0"/>
    <n v="4316190"/>
  </r>
  <r>
    <x v="41"/>
    <s v="Ben Store"/>
    <s v="prise de poids/savon de riz"/>
    <x v="3"/>
    <n v="7"/>
    <n v="3"/>
    <n v="0.76"/>
    <n v="12000"/>
    <n v="3000"/>
    <n v="0.42857142857142855"/>
    <n v="4554529"/>
  </r>
  <r>
    <x v="41"/>
    <s v="Thamarati"/>
    <s v="glorysmile"/>
    <x v="9"/>
    <n v="0"/>
    <m/>
    <n v="0"/>
    <m/>
    <m/>
    <n v="0"/>
    <n v="4348553"/>
  </r>
  <r>
    <x v="41"/>
    <s v="Mufti"/>
    <s v="prise de poids/attote"/>
    <x v="8"/>
    <n v="1"/>
    <n v="2"/>
    <n v="0"/>
    <n v="25000"/>
    <n v="3000"/>
    <n v="2"/>
    <n v="4586158"/>
  </r>
  <r>
    <x v="41"/>
    <s v="Hadidja"/>
    <s v="parfum de bouche"/>
    <x v="12"/>
    <n v="0"/>
    <n v="1"/>
    <n v="0"/>
    <n v="12500"/>
    <n v="1500"/>
    <n v="0"/>
    <n v="4561858"/>
  </r>
  <r>
    <x v="41"/>
    <s v="Raina"/>
    <s v="jel orange"/>
    <x v="14"/>
    <n v="0"/>
    <n v="2"/>
    <n v="0"/>
    <n v="7000"/>
    <n v="2000"/>
    <n v="0"/>
    <n v="4587211"/>
  </r>
  <r>
    <x v="41"/>
    <s v="lutfia"/>
    <s v="glorysmile/savon au riz"/>
    <x v="15"/>
    <n v="3"/>
    <n v="5"/>
    <n v="0.66"/>
    <n v="42000"/>
    <n v="8000"/>
    <n v="1.6666666666666667"/>
    <n v="4221767"/>
  </r>
  <r>
    <x v="41"/>
    <s v="fayrati"/>
    <s v="huile/glorysmile/savon au riz"/>
    <x v="18"/>
    <n v="1"/>
    <m/>
    <n v="0.76"/>
    <m/>
    <m/>
    <n v="0"/>
    <n v="4463888"/>
  </r>
  <r>
    <x v="41"/>
    <s v="Mariame"/>
    <s v="NA"/>
    <x v="17"/>
    <n v="0"/>
    <m/>
    <n v="0"/>
    <m/>
    <m/>
    <n v="0"/>
    <n v="4080782"/>
  </r>
  <r>
    <x v="41"/>
    <s v="riwad"/>
    <s v="poudre de poids/savon au riz"/>
    <x v="19"/>
    <n v="0"/>
    <m/>
    <n v="0"/>
    <m/>
    <m/>
    <n v="0"/>
    <n v="4559847"/>
  </r>
  <r>
    <x v="41"/>
    <s v="Asna"/>
    <s v="glorysmile"/>
    <x v="6"/>
    <n v="0"/>
    <m/>
    <n v="0"/>
    <m/>
    <m/>
    <n v="0"/>
    <n v="4541035"/>
  </r>
  <r>
    <x v="41"/>
    <s v="balmata"/>
    <s v="prise de poids /savon au riz"/>
    <x v="20"/>
    <n v="0"/>
    <n v="1"/>
    <n v="0"/>
    <n v="15000"/>
    <n v="2500"/>
    <n v="0"/>
    <n v="4636761"/>
  </r>
  <r>
    <x v="41"/>
    <s v="lutfat"/>
    <s v="jel orange/prise de poids"/>
    <x v="21"/>
    <n v="2"/>
    <m/>
    <n v="1.03"/>
    <m/>
    <m/>
    <n v="0"/>
    <n v="4636772"/>
  </r>
  <r>
    <x v="41"/>
    <s v="hamida"/>
    <s v="savon au riz/prise de poids"/>
    <x v="22"/>
    <n v="0"/>
    <n v="1"/>
    <n v="0"/>
    <n v="12500"/>
    <n v="1500"/>
    <n v="0"/>
    <n v="3947053"/>
  </r>
  <r>
    <x v="41"/>
    <s v="nayla"/>
    <s v="jel orange /savon orange"/>
    <x v="23"/>
    <n v="1"/>
    <n v="1"/>
    <n v="0.34"/>
    <n v="4000"/>
    <n v="1000"/>
    <n v="1"/>
    <n v="4587817"/>
  </r>
  <r>
    <x v="41"/>
    <s v="suraya"/>
    <s v="prise de poids/the minceur"/>
    <x v="24"/>
    <n v="1"/>
    <m/>
    <n v="0"/>
    <m/>
    <m/>
    <n v="0"/>
    <n v="3330821"/>
  </r>
  <r>
    <x v="41"/>
    <s v="coach"/>
    <s v="moto"/>
    <x v="25"/>
    <n v="0"/>
    <m/>
    <n v="0"/>
    <m/>
    <m/>
    <n v="0"/>
    <n v="4090831"/>
  </r>
  <r>
    <x v="41"/>
    <s v="malika"/>
    <s v="glorysmile/gel orange"/>
    <x v="26"/>
    <n v="0"/>
    <m/>
    <n v="0"/>
    <m/>
    <m/>
    <n v="0"/>
    <n v="4209873"/>
  </r>
  <r>
    <x v="41"/>
    <s v="rabianti"/>
    <s v="glorysmile/gel orange"/>
    <x v="27"/>
    <n v="0"/>
    <n v="1"/>
    <n v="0"/>
    <n v="5000"/>
    <n v="1000"/>
    <n v="0"/>
    <n v="4937885"/>
  </r>
  <r>
    <x v="42"/>
    <s v="Boutique de Soin"/>
    <s v="jel orange"/>
    <x v="0"/>
    <n v="34"/>
    <n v="3"/>
    <n v="3.46"/>
    <n v="20500"/>
    <n v="3500"/>
    <n v="8.8235294117647065E-2"/>
    <n v="4316190"/>
  </r>
  <r>
    <x v="42"/>
    <s v="Ben Store"/>
    <s v="prise de poids/savon de riz"/>
    <x v="3"/>
    <n v="34"/>
    <m/>
    <n v="3.57"/>
    <m/>
    <m/>
    <n v="0"/>
    <n v="4554529"/>
  </r>
  <r>
    <x v="42"/>
    <s v="Thamarati"/>
    <s v="glorysmile"/>
    <x v="9"/>
    <n v="19"/>
    <n v="1"/>
    <n v="3.71"/>
    <n v="10000"/>
    <n v="2500"/>
    <n v="5.2631578947368418E-2"/>
    <n v="4348553"/>
  </r>
  <r>
    <x v="42"/>
    <s v="Mufti"/>
    <s v="prise de poids/attote"/>
    <x v="8"/>
    <n v="28"/>
    <m/>
    <n v="2.95"/>
    <m/>
    <m/>
    <n v="0"/>
    <n v="4586158"/>
  </r>
  <r>
    <x v="42"/>
    <s v="Hadidja"/>
    <s v="parfum de bouche"/>
    <x v="12"/>
    <m/>
    <m/>
    <m/>
    <m/>
    <m/>
    <n v="0"/>
    <n v="4561858"/>
  </r>
  <r>
    <x v="42"/>
    <s v="Raina"/>
    <s v="jel orange"/>
    <x v="14"/>
    <m/>
    <m/>
    <m/>
    <m/>
    <m/>
    <n v="0"/>
    <n v="4587211"/>
  </r>
  <r>
    <x v="42"/>
    <s v="lutfia"/>
    <s v="glorysmile/savon au riz"/>
    <x v="15"/>
    <n v="14"/>
    <m/>
    <n v="2.41"/>
    <m/>
    <m/>
    <n v="0"/>
    <n v="4221767"/>
  </r>
  <r>
    <x v="42"/>
    <s v="fayrati"/>
    <s v="huile/glorysmile/savon au riz"/>
    <x v="18"/>
    <n v="23"/>
    <m/>
    <n v="3.11"/>
    <m/>
    <m/>
    <n v="0"/>
    <n v="4463888"/>
  </r>
  <r>
    <x v="42"/>
    <s v="Mariame"/>
    <s v="NA"/>
    <x v="17"/>
    <n v="0"/>
    <m/>
    <m/>
    <m/>
    <m/>
    <n v="0"/>
    <n v="4080782"/>
  </r>
  <r>
    <x v="42"/>
    <s v="riwad"/>
    <s v="poudre de poids/savon au riz"/>
    <x v="19"/>
    <n v="0"/>
    <m/>
    <m/>
    <m/>
    <m/>
    <n v="0"/>
    <n v="4559847"/>
  </r>
  <r>
    <x v="42"/>
    <s v="Asna"/>
    <s v="glorysmile"/>
    <x v="6"/>
    <n v="0"/>
    <m/>
    <m/>
    <m/>
    <m/>
    <n v="0"/>
    <n v="4541035"/>
  </r>
  <r>
    <x v="42"/>
    <s v="balmata"/>
    <s v="prise de poids /savon au riz"/>
    <x v="20"/>
    <n v="8"/>
    <m/>
    <n v="2.0299999999999998"/>
    <m/>
    <m/>
    <n v="0"/>
    <n v="4636761"/>
  </r>
  <r>
    <x v="42"/>
    <s v="lutfat"/>
    <s v="jel orange/prise de poids"/>
    <x v="21"/>
    <n v="23"/>
    <n v="3"/>
    <n v="3.55"/>
    <n v="20500"/>
    <n v="3500"/>
    <n v="0.13043478260869565"/>
    <n v="4636772"/>
  </r>
  <r>
    <x v="42"/>
    <s v="hamida"/>
    <s v="savon au riz/prise de poids"/>
    <x v="22"/>
    <n v="23"/>
    <m/>
    <n v="4.66"/>
    <m/>
    <m/>
    <n v="0"/>
    <n v="3947053"/>
  </r>
  <r>
    <x v="42"/>
    <s v="nayla"/>
    <s v="jel orange /savon orange"/>
    <x v="23"/>
    <n v="14"/>
    <m/>
    <n v="3.07"/>
    <m/>
    <m/>
    <n v="0"/>
    <n v="4587817"/>
  </r>
  <r>
    <x v="42"/>
    <s v="Nadjma"/>
    <m/>
    <x v="7"/>
    <n v="10"/>
    <m/>
    <n v="1.28"/>
    <m/>
    <m/>
    <n v="0"/>
    <n v="4476670"/>
  </r>
  <r>
    <x v="42"/>
    <s v="suraya"/>
    <s v="prise de poids/the minceur"/>
    <x v="24"/>
    <n v="21"/>
    <m/>
    <n v="3.3"/>
    <m/>
    <m/>
    <n v="0"/>
    <n v="3330821"/>
  </r>
  <r>
    <x v="42"/>
    <s v="coach"/>
    <s v="moto"/>
    <x v="25"/>
    <n v="0"/>
    <m/>
    <n v="0"/>
    <m/>
    <m/>
    <n v="0"/>
    <n v="4090831"/>
  </r>
  <r>
    <x v="42"/>
    <s v="malika"/>
    <s v="glorysmile/gel orange"/>
    <x v="26"/>
    <n v="16"/>
    <n v="1"/>
    <n v="3.15"/>
    <n v="4000"/>
    <n v="1000"/>
    <n v="6.25E-2"/>
    <n v="4209873"/>
  </r>
  <r>
    <x v="42"/>
    <s v="rabianti"/>
    <s v="glorysmile/gel orange"/>
    <x v="27"/>
    <n v="14"/>
    <m/>
    <n v="2.92"/>
    <m/>
    <m/>
    <n v="0"/>
    <n v="4937885"/>
  </r>
  <r>
    <x v="43"/>
    <s v="Boutique de Soin"/>
    <s v="jel orange"/>
    <x v="0"/>
    <n v="28"/>
    <m/>
    <n v="1.96"/>
    <m/>
    <m/>
    <n v="0"/>
    <n v="4316190"/>
  </r>
  <r>
    <x v="43"/>
    <s v="Ben Store"/>
    <s v="prise de poids/savon de riz"/>
    <x v="3"/>
    <n v="14"/>
    <m/>
    <n v="1.57"/>
    <m/>
    <m/>
    <n v="0"/>
    <n v="4554529"/>
  </r>
  <r>
    <x v="43"/>
    <s v="Thamarati"/>
    <s v="glorysmile"/>
    <x v="9"/>
    <n v="11"/>
    <m/>
    <n v="2.11"/>
    <m/>
    <m/>
    <n v="0"/>
    <n v="4348553"/>
  </r>
  <r>
    <x v="43"/>
    <s v="Mufti"/>
    <s v="prise de poids/attote"/>
    <x v="8"/>
    <n v="30"/>
    <m/>
    <n v="1.95"/>
    <m/>
    <m/>
    <n v="0"/>
    <n v="4586158"/>
  </r>
  <r>
    <x v="43"/>
    <s v="Hadidja"/>
    <s v="parfum de bouche"/>
    <x v="12"/>
    <m/>
    <m/>
    <m/>
    <m/>
    <m/>
    <n v="0"/>
    <n v="4561858"/>
  </r>
  <r>
    <x v="43"/>
    <s v="Raina"/>
    <s v="jel orange"/>
    <x v="14"/>
    <n v="1"/>
    <m/>
    <n v="0.88"/>
    <m/>
    <m/>
    <n v="0"/>
    <n v="4587211"/>
  </r>
  <r>
    <x v="43"/>
    <s v="lutfia"/>
    <s v="glorysmile/savon au riz"/>
    <x v="15"/>
    <n v="28"/>
    <m/>
    <n v="2.14"/>
    <m/>
    <m/>
    <n v="0"/>
    <n v="4221767"/>
  </r>
  <r>
    <x v="43"/>
    <s v="fayrati"/>
    <s v="huile/glorysmile/savon au riz"/>
    <x v="18"/>
    <n v="8"/>
    <m/>
    <n v="1.75"/>
    <m/>
    <m/>
    <n v="0"/>
    <n v="4463888"/>
  </r>
  <r>
    <x v="43"/>
    <s v="Mariame"/>
    <m/>
    <x v="17"/>
    <n v="0"/>
    <m/>
    <n v="0"/>
    <m/>
    <m/>
    <n v="0"/>
    <n v="4080782"/>
  </r>
  <r>
    <x v="43"/>
    <s v="riwad"/>
    <s v="poudre de poids/savon au riz"/>
    <x v="19"/>
    <n v="4"/>
    <m/>
    <n v="0.19"/>
    <m/>
    <m/>
    <n v="0"/>
    <n v="4559847"/>
  </r>
  <r>
    <x v="43"/>
    <s v="Asna"/>
    <s v="glorysmile"/>
    <x v="6"/>
    <m/>
    <m/>
    <m/>
    <m/>
    <m/>
    <n v="0"/>
    <n v="4541035"/>
  </r>
  <r>
    <x v="43"/>
    <s v="balmata"/>
    <s v="prise de poids /savon au riz"/>
    <x v="20"/>
    <n v="11"/>
    <m/>
    <n v="1.75"/>
    <m/>
    <m/>
    <n v="0"/>
    <n v="4636761"/>
  </r>
  <r>
    <x v="43"/>
    <s v="lutfat"/>
    <s v="jel orange/prise de poids"/>
    <x v="21"/>
    <n v="14"/>
    <m/>
    <n v="1.97"/>
    <m/>
    <m/>
    <n v="0"/>
    <n v="4636772"/>
  </r>
  <r>
    <x v="43"/>
    <s v="hamida"/>
    <s v="savon au riz/prise de poids"/>
    <x v="22"/>
    <n v="19"/>
    <m/>
    <n v="1.96"/>
    <m/>
    <m/>
    <n v="0"/>
    <n v="3947053"/>
  </r>
  <r>
    <x v="43"/>
    <s v="nayla"/>
    <s v="jel orange /savon orange"/>
    <x v="23"/>
    <n v="11"/>
    <m/>
    <n v="2.4310999999999998"/>
    <m/>
    <m/>
    <n v="0"/>
    <n v="4587817"/>
  </r>
  <r>
    <x v="43"/>
    <s v="suraya"/>
    <s v="prise de poids/the minceur"/>
    <x v="24"/>
    <n v="20"/>
    <m/>
    <n v="2.08"/>
    <m/>
    <m/>
    <n v="0"/>
    <n v="3330821"/>
  </r>
  <r>
    <x v="43"/>
    <s v="coach"/>
    <s v="moto"/>
    <x v="25"/>
    <m/>
    <m/>
    <m/>
    <m/>
    <m/>
    <n v="0"/>
    <n v="4090831"/>
  </r>
  <r>
    <x v="43"/>
    <s v="malika"/>
    <s v="glorysmile/gel orange"/>
    <x v="26"/>
    <n v="20"/>
    <m/>
    <n v="2.14"/>
    <m/>
    <m/>
    <n v="0"/>
    <n v="4209873"/>
  </r>
  <r>
    <x v="43"/>
    <s v="rabianti"/>
    <s v="glorysmile/gel orange"/>
    <x v="27"/>
    <n v="21"/>
    <m/>
    <n v="1.92"/>
    <m/>
    <m/>
    <n v="0"/>
    <n v="4937885"/>
  </r>
  <r>
    <x v="43"/>
    <s v="Nadjma"/>
    <m/>
    <x v="7"/>
    <n v="7"/>
    <m/>
    <n v="1.68"/>
    <m/>
    <m/>
    <n v="0"/>
    <n v="4476670"/>
  </r>
  <r>
    <x v="44"/>
    <s v="Boutique de Soin"/>
    <s v="jel orange"/>
    <x v="0"/>
    <n v="14"/>
    <n v="3"/>
    <n v="1.79"/>
    <n v="16500"/>
    <n v="4500"/>
    <n v="0.21428571428571427"/>
    <n v="4316190"/>
  </r>
  <r>
    <x v="44"/>
    <s v="Ben Store"/>
    <s v="prise de poids/savon de riz"/>
    <x v="3"/>
    <n v="25"/>
    <n v="2"/>
    <n v="1.47"/>
    <n v="8000"/>
    <n v="2000"/>
    <n v="0.08"/>
    <n v="4554529"/>
  </r>
  <r>
    <x v="44"/>
    <s v="Thamarati"/>
    <s v="glorysmile"/>
    <x v="9"/>
    <n v="21"/>
    <n v="3"/>
    <n v="2.34"/>
    <n v="21000"/>
    <n v="6000"/>
    <n v="0.14285714285714285"/>
    <n v="4348553"/>
  </r>
  <r>
    <x v="44"/>
    <s v="Mufti"/>
    <s v="prise de poids/attote"/>
    <x v="8"/>
    <n v="11"/>
    <n v="3"/>
    <n v="1.55"/>
    <n v="20500"/>
    <n v="3500"/>
    <n v="0.27272727272727271"/>
    <n v="4586158"/>
  </r>
  <r>
    <x v="44"/>
    <s v="Hadidja"/>
    <s v="parfum de bouche"/>
    <x v="12"/>
    <m/>
    <m/>
    <m/>
    <m/>
    <m/>
    <n v="0"/>
    <n v="4561858"/>
  </r>
  <r>
    <x v="44"/>
    <s v="Raina"/>
    <s v="jel orange"/>
    <x v="14"/>
    <n v="2"/>
    <m/>
    <n v="0.98"/>
    <m/>
    <m/>
    <n v="0"/>
    <n v="4587211"/>
  </r>
  <r>
    <x v="44"/>
    <s v="lutfia"/>
    <s v="glorysmile/savon au riz"/>
    <x v="15"/>
    <n v="21"/>
    <m/>
    <n v="1.87"/>
    <m/>
    <m/>
    <n v="0"/>
    <n v="4221767"/>
  </r>
  <r>
    <x v="44"/>
    <s v="fayrati"/>
    <s v="huile/glorysmile/savon au riz"/>
    <x v="18"/>
    <n v="5"/>
    <n v="1"/>
    <n v="0.7"/>
    <n v="10000"/>
    <n v="2500"/>
    <n v="0.2"/>
    <n v="4463888"/>
  </r>
  <r>
    <x v="44"/>
    <s v="Mariame"/>
    <m/>
    <x v="17"/>
    <n v="0"/>
    <m/>
    <n v="0"/>
    <m/>
    <m/>
    <n v="0"/>
    <n v="4080782"/>
  </r>
  <r>
    <x v="44"/>
    <s v="riwad"/>
    <s v="poudre de poids/savon au riz"/>
    <x v="19"/>
    <n v="12"/>
    <m/>
    <n v="1.86"/>
    <m/>
    <m/>
    <n v="0"/>
    <n v="4559847"/>
  </r>
  <r>
    <x v="44"/>
    <s v="Asna"/>
    <s v="glorysmile"/>
    <x v="6"/>
    <m/>
    <m/>
    <m/>
    <m/>
    <m/>
    <n v="0"/>
    <n v="4541035"/>
  </r>
  <r>
    <x v="44"/>
    <s v="balmata"/>
    <s v="prise de poids /savon au riz"/>
    <x v="20"/>
    <n v="13"/>
    <n v="2"/>
    <n v="2.0699999999999998"/>
    <n v="19000"/>
    <n v="3500"/>
    <n v="0.15384615384615385"/>
    <n v="4636761"/>
  </r>
  <r>
    <x v="44"/>
    <s v="lutfat"/>
    <s v="jel orange/prise de poids"/>
    <x v="21"/>
    <n v="13"/>
    <m/>
    <n v="2.02"/>
    <m/>
    <m/>
    <n v="0"/>
    <n v="4636772"/>
  </r>
  <r>
    <x v="44"/>
    <s v="hamida"/>
    <s v="savon au riz/prise de poids"/>
    <x v="22"/>
    <n v="0"/>
    <n v="1"/>
    <n v="0"/>
    <n v="12500"/>
    <n v="2500"/>
    <n v="0"/>
    <n v="3947053"/>
  </r>
  <r>
    <x v="44"/>
    <s v="nayla"/>
    <s v="jel orange /savon orange"/>
    <x v="23"/>
    <n v="46"/>
    <n v="7"/>
    <n v="2.96"/>
    <n v="49500"/>
    <n v="9500"/>
    <n v="0.15217391304347827"/>
    <n v="4587817"/>
  </r>
  <r>
    <x v="44"/>
    <s v="suraya"/>
    <s v="prise de poids/the minceur"/>
    <x v="24"/>
    <m/>
    <n v="3"/>
    <m/>
    <n v="33500"/>
    <n v="6500"/>
    <n v="0"/>
    <n v="3330821"/>
  </r>
  <r>
    <x v="44"/>
    <s v="coach"/>
    <s v="moto"/>
    <x v="25"/>
    <m/>
    <n v="2"/>
    <m/>
    <n v="16500"/>
    <m/>
    <n v="0"/>
    <n v="4090831"/>
  </r>
  <r>
    <x v="44"/>
    <s v="malika"/>
    <s v="glorysmile/gel orange"/>
    <x v="26"/>
    <n v="15"/>
    <m/>
    <n v="1.72"/>
    <m/>
    <n v="3500"/>
    <n v="0"/>
    <n v="4209873"/>
  </r>
  <r>
    <x v="44"/>
    <s v="rabianti"/>
    <s v="glorysmile/gel orange"/>
    <x v="27"/>
    <n v="10"/>
    <n v="2"/>
    <n v="1.89"/>
    <n v="18000"/>
    <m/>
    <n v="0.2"/>
    <n v="4937885"/>
  </r>
  <r>
    <x v="44"/>
    <s v="Nadjma"/>
    <m/>
    <x v="7"/>
    <n v="32"/>
    <m/>
    <n v="2.25"/>
    <m/>
    <m/>
    <n v="0"/>
    <n v="4476670"/>
  </r>
  <r>
    <x v="45"/>
    <s v="Boutique de Soin"/>
    <s v="jel orange"/>
    <x v="0"/>
    <n v="39"/>
    <n v="8"/>
    <n v="2.83"/>
    <n v="57500"/>
    <n v="9500"/>
    <n v="0.20512820512820512"/>
    <n v="4316190"/>
  </r>
  <r>
    <x v="45"/>
    <s v="Ben Store"/>
    <s v="prise de poids/savon de riz"/>
    <x v="3"/>
    <n v="17"/>
    <n v="3"/>
    <n v="2.72"/>
    <n v="20500"/>
    <n v="3500"/>
    <n v="0.17647058823529413"/>
    <n v="4554529"/>
  </r>
  <r>
    <x v="45"/>
    <s v="Thamarati"/>
    <s v="glorysmile"/>
    <x v="9"/>
    <n v="14"/>
    <n v="3"/>
    <n v="3.21"/>
    <n v="27500"/>
    <n v="6000"/>
    <n v="0.21428571428571427"/>
    <n v="4348553"/>
  </r>
  <r>
    <x v="45"/>
    <s v="Mufti"/>
    <s v="prise de poids/attote"/>
    <x v="8"/>
    <n v="2"/>
    <n v="1"/>
    <n v="0.09"/>
    <n v="4000"/>
    <n v="1000"/>
    <n v="0.5"/>
    <n v="4586158"/>
  </r>
  <r>
    <x v="45"/>
    <s v="Hadidja"/>
    <s v="parfum de bouche"/>
    <x v="12"/>
    <n v="13"/>
    <n v="1"/>
    <n v="3.02"/>
    <n v="9000"/>
    <n v="2500"/>
    <n v="7.6923076923076927E-2"/>
    <n v="4561858"/>
  </r>
  <r>
    <x v="45"/>
    <s v="Raina"/>
    <s v="jel orange"/>
    <x v="14"/>
    <n v="10"/>
    <m/>
    <n v="1.87"/>
    <m/>
    <m/>
    <n v="0"/>
    <n v="4587211"/>
  </r>
  <r>
    <x v="45"/>
    <s v="lutfia"/>
    <s v="glorysmile/savon au riz"/>
    <x v="15"/>
    <n v="30"/>
    <n v="1"/>
    <n v="3.22"/>
    <n v="4000"/>
    <n v="1000"/>
    <n v="3.3333333333333333E-2"/>
    <n v="4221767"/>
  </r>
  <r>
    <x v="45"/>
    <s v="fayrati"/>
    <s v="huile/glorysmile/savon au riz"/>
    <x v="18"/>
    <m/>
    <m/>
    <m/>
    <m/>
    <m/>
    <n v="0"/>
    <n v="4463888"/>
  </r>
  <r>
    <x v="45"/>
    <s v="Mariame"/>
    <m/>
    <x v="17"/>
    <m/>
    <m/>
    <m/>
    <m/>
    <m/>
    <n v="0"/>
    <n v="4080782"/>
  </r>
  <r>
    <x v="45"/>
    <s v="riwad"/>
    <s v="poudre de poids/savon au riz"/>
    <x v="19"/>
    <n v="8"/>
    <n v="2"/>
    <n v="2.1800000000000002"/>
    <n v="16500"/>
    <n v="2500"/>
    <n v="0.25"/>
    <n v="4559847"/>
  </r>
  <r>
    <x v="45"/>
    <s v="Asna"/>
    <s v="glorysmile"/>
    <x v="6"/>
    <m/>
    <m/>
    <m/>
    <m/>
    <m/>
    <n v="0"/>
    <n v="4541035"/>
  </r>
  <r>
    <x v="45"/>
    <s v="balmata"/>
    <s v="prise de poids /savon au riz"/>
    <x v="20"/>
    <n v="19"/>
    <n v="1"/>
    <n v="2.2599999999999998"/>
    <n v="4000"/>
    <n v="1000"/>
    <n v="5.2631578947368418E-2"/>
    <n v="4636761"/>
  </r>
  <r>
    <x v="45"/>
    <s v="lutfat"/>
    <s v="jel orange/prise de poids"/>
    <x v="21"/>
    <n v="27"/>
    <m/>
    <n v="3.51"/>
    <m/>
    <m/>
    <n v="0"/>
    <n v="4636772"/>
  </r>
  <r>
    <x v="45"/>
    <s v="hamida"/>
    <s v="savon au riz/prise de poids"/>
    <x v="22"/>
    <m/>
    <m/>
    <m/>
    <m/>
    <m/>
    <n v="0"/>
    <n v="3947053"/>
  </r>
  <r>
    <x v="45"/>
    <s v="nayla"/>
    <s v="jel orange /savon orange"/>
    <x v="23"/>
    <n v="24"/>
    <n v="5"/>
    <n v="2.82"/>
    <n v="20000"/>
    <n v="5000"/>
    <n v="0.20833333333333334"/>
    <n v="4587817"/>
  </r>
  <r>
    <x v="45"/>
    <s v="suraya"/>
    <s v="prise de poids/the minceur"/>
    <x v="24"/>
    <n v="2"/>
    <n v="2"/>
    <m/>
    <n v="12500"/>
    <n v="3500"/>
    <n v="1"/>
    <n v="3330821"/>
  </r>
  <r>
    <x v="45"/>
    <s v="malika"/>
    <s v="glorysmile/gel orange"/>
    <x v="26"/>
    <n v="17"/>
    <m/>
    <n v="2.2000000000000002"/>
    <m/>
    <m/>
    <n v="0"/>
    <n v="4209873"/>
  </r>
  <r>
    <x v="45"/>
    <s v="rabianti"/>
    <s v="glorysmile/gel orange"/>
    <x v="27"/>
    <n v="9"/>
    <n v="1"/>
    <n v="2.0099999999999998"/>
    <n v="4000"/>
    <n v="1000"/>
    <n v="0.1111111111111111"/>
    <n v="4937885"/>
  </r>
  <r>
    <x v="45"/>
    <s v="Nadjma"/>
    <m/>
    <x v="7"/>
    <m/>
    <m/>
    <m/>
    <m/>
    <m/>
    <n v="0"/>
    <n v="4476670"/>
  </r>
  <r>
    <x v="46"/>
    <s v="Boutique de Soin"/>
    <s v="jel orange"/>
    <x v="0"/>
    <n v="22"/>
    <n v="2"/>
    <n v="2.13"/>
    <n v="19000"/>
    <n v="3500"/>
    <n v="9.0909090909090912E-2"/>
    <n v="4316190"/>
  </r>
  <r>
    <x v="46"/>
    <s v="Ben Store"/>
    <s v="prise de poids/savon de riz"/>
    <x v="3"/>
    <n v="22"/>
    <n v="2"/>
    <n v="2.41"/>
    <n v="16500"/>
    <n v="2500"/>
    <n v="9.0909090909090912E-2"/>
    <n v="4554529"/>
  </r>
  <r>
    <x v="46"/>
    <s v="Thamarati"/>
    <s v="glorysmile"/>
    <x v="9"/>
    <n v="23"/>
    <m/>
    <n v="2.08"/>
    <m/>
    <m/>
    <n v="0"/>
    <n v="4348553"/>
  </r>
  <r>
    <x v="46"/>
    <s v="Mufti"/>
    <s v="prise de poids/attote"/>
    <x v="8"/>
    <n v="23"/>
    <n v="1"/>
    <n v="2.23"/>
    <n v="12500"/>
    <n v="1500"/>
    <n v="4.3478260869565216E-2"/>
    <n v="4586158"/>
  </r>
  <r>
    <x v="46"/>
    <s v="Hadidja"/>
    <s v="parfum de bouche"/>
    <x v="12"/>
    <n v="1"/>
    <m/>
    <n v="0.18"/>
    <m/>
    <m/>
    <n v="0"/>
    <n v="4561858"/>
  </r>
  <r>
    <x v="46"/>
    <s v="Raina"/>
    <s v="jel orange"/>
    <x v="14"/>
    <m/>
    <m/>
    <m/>
    <m/>
    <m/>
    <n v="0"/>
    <n v="4587211"/>
  </r>
  <r>
    <x v="46"/>
    <s v="lutfia"/>
    <s v="glorysmile/savon au riz"/>
    <x v="15"/>
    <n v="16"/>
    <m/>
    <n v="2.0699999999999998"/>
    <m/>
    <m/>
    <n v="0"/>
    <n v="4221767"/>
  </r>
  <r>
    <x v="46"/>
    <s v="fayrati"/>
    <s v="huile/glorysmile/savon au riz"/>
    <x v="18"/>
    <m/>
    <n v="1"/>
    <m/>
    <n v="15000"/>
    <n v="2500"/>
    <n v="0"/>
    <n v="4463888"/>
  </r>
  <r>
    <x v="46"/>
    <s v="Mariame"/>
    <m/>
    <x v="17"/>
    <m/>
    <m/>
    <m/>
    <m/>
    <m/>
    <n v="0"/>
    <n v="4080782"/>
  </r>
  <r>
    <x v="46"/>
    <s v="riwad"/>
    <s v="poudre de poids/savon au riz"/>
    <x v="19"/>
    <n v="11"/>
    <m/>
    <n v="1.89"/>
    <m/>
    <m/>
    <n v="0"/>
    <n v="4559847"/>
  </r>
  <r>
    <x v="46"/>
    <s v="Asna"/>
    <s v="glorysmile"/>
    <x v="6"/>
    <m/>
    <m/>
    <m/>
    <m/>
    <m/>
    <n v="0"/>
    <n v="4541035"/>
  </r>
  <r>
    <x v="46"/>
    <s v="balmata"/>
    <s v="prise de poids /savon au riz"/>
    <x v="20"/>
    <n v="25"/>
    <m/>
    <n v="2.16"/>
    <m/>
    <m/>
    <n v="0"/>
    <n v="4636761"/>
  </r>
  <r>
    <x v="46"/>
    <s v="lutfat"/>
    <s v="jel orange/prise de poids"/>
    <x v="21"/>
    <n v="21"/>
    <n v="4"/>
    <n v="2.31"/>
    <n v="46500"/>
    <n v="7500"/>
    <n v="0.19047619047619047"/>
    <n v="4636772"/>
  </r>
  <r>
    <x v="46"/>
    <s v="hamida"/>
    <s v="savon au riz/prise de poids"/>
    <x v="22"/>
    <m/>
    <m/>
    <m/>
    <m/>
    <m/>
    <n v="0"/>
    <n v="3947053"/>
  </r>
  <r>
    <x v="46"/>
    <s v="nayla"/>
    <s v="jel orange /savon orange"/>
    <x v="23"/>
    <n v="17"/>
    <m/>
    <n v="2.2200000000000002"/>
    <m/>
    <m/>
    <n v="0"/>
    <n v="4587817"/>
  </r>
  <r>
    <x v="46"/>
    <s v="suraya"/>
    <s v="prise de poids/the minceur"/>
    <x v="24"/>
    <m/>
    <m/>
    <m/>
    <m/>
    <m/>
    <n v="0"/>
    <n v="3330821"/>
  </r>
  <r>
    <x v="46"/>
    <s v="malika"/>
    <s v="glorysmile/gel orange"/>
    <x v="26"/>
    <n v="15"/>
    <n v="1"/>
    <n v="1.91"/>
    <n v="4000"/>
    <n v="1000"/>
    <n v="6.6666666666666666E-2"/>
    <n v="4209873"/>
  </r>
  <r>
    <x v="46"/>
    <s v="rabianti"/>
    <s v="glorysmile/gel orange"/>
    <x v="27"/>
    <n v="7"/>
    <m/>
    <n v="1.91"/>
    <m/>
    <m/>
    <n v="0"/>
    <n v="4937885"/>
  </r>
  <r>
    <x v="46"/>
    <s v="Nadjma"/>
    <m/>
    <x v="7"/>
    <m/>
    <m/>
    <m/>
    <m/>
    <m/>
    <n v="0"/>
    <n v="4476670"/>
  </r>
  <r>
    <x v="47"/>
    <s v="Boutique de Soin"/>
    <s v="jel orange"/>
    <x v="0"/>
    <n v="5"/>
    <m/>
    <n v="1.28"/>
    <m/>
    <m/>
    <n v="0"/>
    <n v="4316190"/>
  </r>
  <r>
    <x v="47"/>
    <s v="Ben Store"/>
    <s v="prise de poids/savon de riz"/>
    <x v="3"/>
    <n v="8"/>
    <n v="1"/>
    <n v="1.45"/>
    <n v="15000"/>
    <n v="2500"/>
    <n v="0.125"/>
    <n v="4554529"/>
  </r>
  <r>
    <x v="47"/>
    <s v="Thamarati"/>
    <s v="glorysmile"/>
    <x v="9"/>
    <n v="5"/>
    <m/>
    <n v="1.32"/>
    <m/>
    <m/>
    <n v="0"/>
    <n v="4348553"/>
  </r>
  <r>
    <x v="47"/>
    <s v="Mufti"/>
    <s v="prise de poids/attote"/>
    <x v="8"/>
    <n v="18"/>
    <m/>
    <n v="1.94"/>
    <m/>
    <m/>
    <n v="0"/>
    <n v="4586158"/>
  </r>
  <r>
    <x v="47"/>
    <s v="Hadidja"/>
    <s v="parfum de bouche"/>
    <x v="12"/>
    <m/>
    <m/>
    <m/>
    <m/>
    <m/>
    <n v="0"/>
    <n v="4561858"/>
  </r>
  <r>
    <x v="47"/>
    <s v="Raina"/>
    <s v="jel orange"/>
    <x v="14"/>
    <m/>
    <m/>
    <m/>
    <m/>
    <m/>
    <n v="0"/>
    <n v="4587211"/>
  </r>
  <r>
    <x v="47"/>
    <s v="lutfia"/>
    <s v="glorysmile/savon au riz"/>
    <x v="15"/>
    <n v="12"/>
    <m/>
    <n v="1.22"/>
    <m/>
    <m/>
    <n v="0"/>
    <n v="4221767"/>
  </r>
  <r>
    <x v="47"/>
    <s v="fayrati"/>
    <s v="huile/glorysmile/savon au riz"/>
    <x v="18"/>
    <m/>
    <n v="1"/>
    <m/>
    <n v="4000"/>
    <n v="1000"/>
    <n v="0"/>
    <n v="4463888"/>
  </r>
  <r>
    <x v="47"/>
    <s v="Mariame"/>
    <m/>
    <x v="17"/>
    <m/>
    <m/>
    <m/>
    <m/>
    <m/>
    <n v="0"/>
    <n v="4080782"/>
  </r>
  <r>
    <x v="47"/>
    <s v="riwad"/>
    <s v="poudre de poids/savon au riz"/>
    <x v="19"/>
    <n v="15"/>
    <n v="2"/>
    <n v="2.1212"/>
    <n v="30000"/>
    <n v="5000"/>
    <n v="0.13333333333333333"/>
    <n v="4559847"/>
  </r>
  <r>
    <x v="47"/>
    <s v="Asna"/>
    <s v="glorysmile"/>
    <x v="6"/>
    <m/>
    <m/>
    <m/>
    <m/>
    <m/>
    <n v="0"/>
    <n v="4541035"/>
  </r>
  <r>
    <x v="47"/>
    <s v="balmata"/>
    <s v="prise de poids /savon au riz"/>
    <x v="20"/>
    <n v="19"/>
    <n v="4"/>
    <n v="1.9"/>
    <n v="34000"/>
    <n v="6000"/>
    <n v="0.21052631578947367"/>
    <n v="4636761"/>
  </r>
  <r>
    <x v="47"/>
    <s v="lutfat"/>
    <s v="jel orange/prise de poids"/>
    <x v="21"/>
    <n v="10"/>
    <n v="2"/>
    <n v="1.41"/>
    <n v="8000"/>
    <n v="2000"/>
    <n v="0.2"/>
    <n v="4636772"/>
  </r>
  <r>
    <x v="47"/>
    <s v="hamida"/>
    <s v="savon au riz/prise de poids"/>
    <x v="22"/>
    <m/>
    <m/>
    <m/>
    <m/>
    <m/>
    <n v="0"/>
    <n v="3947053"/>
  </r>
  <r>
    <x v="47"/>
    <s v="nayla"/>
    <s v="jel orange /savon orange"/>
    <x v="23"/>
    <n v="20"/>
    <m/>
    <n v="2.04"/>
    <m/>
    <m/>
    <n v="0"/>
    <n v="4587817"/>
  </r>
  <r>
    <x v="47"/>
    <s v="suraya"/>
    <s v="prise de poids/the minceur"/>
    <x v="24"/>
    <m/>
    <n v="1"/>
    <m/>
    <n v="8500"/>
    <n v="2500"/>
    <n v="0"/>
    <n v="3330821"/>
  </r>
  <r>
    <x v="47"/>
    <s v="malika"/>
    <s v="glorysmile/gel orange"/>
    <x v="26"/>
    <n v="13"/>
    <m/>
    <n v="2.27"/>
    <m/>
    <m/>
    <n v="0"/>
    <n v="4209873"/>
  </r>
  <r>
    <x v="47"/>
    <s v="rabianti"/>
    <s v="glorysmile/gel orange"/>
    <x v="27"/>
    <n v="12"/>
    <m/>
    <n v="2.17"/>
    <m/>
    <m/>
    <n v="0"/>
    <n v="4937885"/>
  </r>
  <r>
    <x v="47"/>
    <s v="Nadjma"/>
    <m/>
    <x v="7"/>
    <m/>
    <m/>
    <m/>
    <m/>
    <m/>
    <n v="0"/>
    <n v="4476670"/>
  </r>
  <r>
    <x v="48"/>
    <s v="Boutique de Soin"/>
    <s v="jel orange"/>
    <x v="0"/>
    <n v="5"/>
    <n v="3"/>
    <n v="2.13"/>
    <n v="12000"/>
    <n v="3000"/>
    <n v="0.6"/>
    <n v="4316190"/>
  </r>
  <r>
    <x v="48"/>
    <s v="Ben Store"/>
    <s v="prise de poids/savon de riz"/>
    <x v="3"/>
    <n v="8"/>
    <m/>
    <n v="1.94"/>
    <m/>
    <m/>
    <n v="0"/>
    <n v="4554529"/>
  </r>
  <r>
    <x v="48"/>
    <s v="Thamarati"/>
    <s v="glorysmile"/>
    <x v="9"/>
    <n v="9"/>
    <n v="1"/>
    <n v="2.11"/>
    <n v="4000"/>
    <n v="1000"/>
    <n v="0.1111111111111111"/>
    <n v="4348553"/>
  </r>
  <r>
    <x v="48"/>
    <s v="Mufti"/>
    <s v="prise de poids/attote"/>
    <x v="8"/>
    <n v="26"/>
    <m/>
    <n v="1.78"/>
    <m/>
    <m/>
    <n v="0"/>
    <n v="4586158"/>
  </r>
  <r>
    <x v="48"/>
    <s v="Hadidja"/>
    <s v="parfum de bouche"/>
    <x v="12"/>
    <m/>
    <n v="1"/>
    <m/>
    <n v="8000"/>
    <n v="2500"/>
    <n v="0"/>
    <n v="4561858"/>
  </r>
  <r>
    <x v="48"/>
    <s v="Raina"/>
    <s v="jel orange"/>
    <x v="14"/>
    <m/>
    <m/>
    <m/>
    <m/>
    <m/>
    <n v="0"/>
    <n v="4587211"/>
  </r>
  <r>
    <x v="48"/>
    <s v="lutfia"/>
    <s v="glorysmile/savon au riz"/>
    <x v="15"/>
    <n v="14"/>
    <m/>
    <n v="2.2200000000000002"/>
    <m/>
    <m/>
    <n v="0"/>
    <n v="4221767"/>
  </r>
  <r>
    <x v="48"/>
    <s v="fayrati"/>
    <s v="huile/glorysmile/savon au riz"/>
    <x v="18"/>
    <m/>
    <m/>
    <m/>
    <m/>
    <m/>
    <n v="0"/>
    <n v="4463888"/>
  </r>
  <r>
    <x v="48"/>
    <s v="Mariame"/>
    <m/>
    <x v="17"/>
    <m/>
    <m/>
    <m/>
    <m/>
    <m/>
    <n v="0"/>
    <n v="4080782"/>
  </r>
  <r>
    <x v="48"/>
    <s v="riwad"/>
    <s v="poudre de poids/savon au riz"/>
    <x v="19"/>
    <n v="15"/>
    <m/>
    <n v="1.88"/>
    <m/>
    <m/>
    <n v="0"/>
    <n v="4559847"/>
  </r>
  <r>
    <x v="48"/>
    <s v="Asna"/>
    <s v="glorysmile"/>
    <x v="6"/>
    <m/>
    <m/>
    <m/>
    <m/>
    <m/>
    <n v="0"/>
    <n v="4541035"/>
  </r>
  <r>
    <x v="48"/>
    <s v="balmata"/>
    <s v="prise de poids /savon au riz"/>
    <x v="20"/>
    <n v="16"/>
    <n v="1"/>
    <n v="1.88"/>
    <n v="4000"/>
    <n v="1000"/>
    <n v="6.25E-2"/>
    <n v="4636761"/>
  </r>
  <r>
    <x v="48"/>
    <s v="lutfat"/>
    <s v="jel orange/prise de poids"/>
    <x v="21"/>
    <n v="11"/>
    <n v="3"/>
    <n v="1.77"/>
    <n v="20500"/>
    <n v="4500"/>
    <n v="0.27272727272727271"/>
    <n v="4636772"/>
  </r>
  <r>
    <x v="48"/>
    <s v="hamida"/>
    <s v="savon au riz/prise de poids"/>
    <x v="22"/>
    <m/>
    <m/>
    <m/>
    <m/>
    <m/>
    <n v="0"/>
    <n v="3947053"/>
  </r>
  <r>
    <x v="48"/>
    <s v="nayla"/>
    <s v="jel orange /savon orange"/>
    <x v="23"/>
    <n v="30"/>
    <n v="2"/>
    <n v="1.84"/>
    <n v="7500"/>
    <n v="1500"/>
    <n v="6.6666666666666666E-2"/>
    <n v="4587817"/>
  </r>
  <r>
    <x v="48"/>
    <s v="suraya"/>
    <s v="prise de poids/the minceur"/>
    <x v="24"/>
    <m/>
    <m/>
    <m/>
    <m/>
    <m/>
    <n v="0"/>
    <n v="3330821"/>
  </r>
  <r>
    <x v="48"/>
    <s v="coach"/>
    <s v="moto"/>
    <x v="25"/>
    <m/>
    <m/>
    <m/>
    <m/>
    <m/>
    <n v="0"/>
    <n v="4090831"/>
  </r>
  <r>
    <x v="48"/>
    <s v="malika"/>
    <s v="glorysmile/gel orange"/>
    <x v="26"/>
    <n v="12"/>
    <n v="1"/>
    <n v="2.23"/>
    <n v="12500"/>
    <n v="2500"/>
    <n v="8.3333333333333329E-2"/>
    <n v="4209873"/>
  </r>
  <r>
    <x v="48"/>
    <s v="rabianti"/>
    <s v="glorysmile/gel orange"/>
    <x v="27"/>
    <n v="8"/>
    <m/>
    <n v="1.65"/>
    <m/>
    <m/>
    <n v="0"/>
    <n v="4937885"/>
  </r>
  <r>
    <x v="48"/>
    <s v="Nadjma"/>
    <m/>
    <x v="7"/>
    <m/>
    <m/>
    <m/>
    <m/>
    <m/>
    <n v="0"/>
    <n v="4476670"/>
  </r>
  <r>
    <x v="49"/>
    <s v="Boutique de Soin"/>
    <s v="jel orange"/>
    <x v="0"/>
    <m/>
    <m/>
    <m/>
    <m/>
    <m/>
    <n v="0"/>
    <n v="4316190"/>
  </r>
  <r>
    <x v="49"/>
    <s v="Ben Store"/>
    <s v="prise de poids/savon de riz"/>
    <x v="3"/>
    <m/>
    <m/>
    <m/>
    <m/>
    <m/>
    <n v="0"/>
    <n v="4554529"/>
  </r>
  <r>
    <x v="49"/>
    <s v="Thamarati"/>
    <s v="glorysmile"/>
    <x v="9"/>
    <m/>
    <m/>
    <m/>
    <m/>
    <m/>
    <n v="0"/>
    <n v="4348553"/>
  </r>
  <r>
    <x v="49"/>
    <s v="Mufti"/>
    <s v="prise de poids/attote"/>
    <x v="8"/>
    <m/>
    <m/>
    <m/>
    <m/>
    <m/>
    <n v="0"/>
    <n v="4586158"/>
  </r>
  <r>
    <x v="49"/>
    <s v="Hadidja"/>
    <s v="parfum de bouche"/>
    <x v="12"/>
    <m/>
    <m/>
    <m/>
    <m/>
    <m/>
    <n v="0"/>
    <n v="4561858"/>
  </r>
  <r>
    <x v="49"/>
    <s v="Raina"/>
    <s v="jel orange"/>
    <x v="14"/>
    <m/>
    <m/>
    <m/>
    <m/>
    <m/>
    <n v="0"/>
    <n v="4587211"/>
  </r>
  <r>
    <x v="49"/>
    <s v="lutfia"/>
    <s v="glorysmile/savon au riz"/>
    <x v="15"/>
    <m/>
    <n v="1"/>
    <m/>
    <n v="4000"/>
    <n v="1000"/>
    <n v="0"/>
    <n v="4221767"/>
  </r>
  <r>
    <x v="49"/>
    <s v="fayrati"/>
    <s v="huile/glorysmile/savon au riz"/>
    <x v="18"/>
    <m/>
    <m/>
    <m/>
    <m/>
    <m/>
    <n v="0"/>
    <n v="4463888"/>
  </r>
  <r>
    <x v="49"/>
    <s v="Mariame"/>
    <m/>
    <x v="17"/>
    <m/>
    <m/>
    <m/>
    <m/>
    <m/>
    <n v="0"/>
    <n v="4080782"/>
  </r>
  <r>
    <x v="49"/>
    <s v="riwad"/>
    <s v="poudre de poids/savon au riz"/>
    <x v="19"/>
    <m/>
    <n v="1"/>
    <m/>
    <n v="8500"/>
    <n v="2500"/>
    <n v="0"/>
    <n v="4559847"/>
  </r>
  <r>
    <x v="49"/>
    <s v="Asna"/>
    <s v="glorysmile"/>
    <x v="6"/>
    <m/>
    <m/>
    <m/>
    <m/>
    <m/>
    <n v="0"/>
    <n v="4541035"/>
  </r>
  <r>
    <x v="49"/>
    <s v="balmata"/>
    <s v="prise de poids /savon au riz"/>
    <x v="20"/>
    <m/>
    <m/>
    <m/>
    <m/>
    <m/>
    <n v="0"/>
    <n v="4636761"/>
  </r>
  <r>
    <x v="49"/>
    <s v="lutfat"/>
    <s v="jel orange/prise de poids"/>
    <x v="21"/>
    <m/>
    <n v="1"/>
    <m/>
    <n v="12500"/>
    <n v="2000"/>
    <n v="0"/>
    <n v="4636772"/>
  </r>
  <r>
    <x v="49"/>
    <s v="hamida"/>
    <s v="savon au riz/prise de poids"/>
    <x v="22"/>
    <m/>
    <n v="1"/>
    <m/>
    <n v="4000"/>
    <n v="1000"/>
    <n v="0"/>
    <n v="3947053"/>
  </r>
  <r>
    <x v="49"/>
    <s v="nayla"/>
    <s v="jel orange /savon orange"/>
    <x v="23"/>
    <m/>
    <m/>
    <m/>
    <m/>
    <m/>
    <n v="0"/>
    <n v="4587817"/>
  </r>
  <r>
    <x v="49"/>
    <s v="suraya"/>
    <s v="prise de poids/the minceur"/>
    <x v="24"/>
    <m/>
    <n v="1"/>
    <m/>
    <n v="12500"/>
    <n v="1500"/>
    <n v="0"/>
    <n v="3330821"/>
  </r>
  <r>
    <x v="49"/>
    <s v="coach"/>
    <s v="moto"/>
    <x v="25"/>
    <m/>
    <m/>
    <m/>
    <m/>
    <m/>
    <n v="0"/>
    <n v="4090831"/>
  </r>
  <r>
    <x v="49"/>
    <s v="malika"/>
    <s v="glorysmile/gel orange"/>
    <x v="26"/>
    <m/>
    <n v="3"/>
    <m/>
    <n v="10000"/>
    <n v="3000"/>
    <n v="0"/>
    <n v="4209873"/>
  </r>
  <r>
    <x v="49"/>
    <s v="rabianti"/>
    <s v="glorysmile/gel orange"/>
    <x v="27"/>
    <m/>
    <n v="1"/>
    <m/>
    <n v="10000"/>
    <n v="2500"/>
    <n v="0"/>
    <n v="4937885"/>
  </r>
  <r>
    <x v="49"/>
    <s v="Nadjma"/>
    <m/>
    <x v="7"/>
    <m/>
    <m/>
    <m/>
    <m/>
    <m/>
    <n v="0"/>
    <n v="4476670"/>
  </r>
  <r>
    <x v="50"/>
    <s v="Boutique de Soin"/>
    <s v="jel orange"/>
    <x v="0"/>
    <m/>
    <m/>
    <m/>
    <m/>
    <m/>
    <n v="0"/>
    <n v="4316190"/>
  </r>
  <r>
    <x v="50"/>
    <s v="Ben Store"/>
    <s v="prise de poids/savon de riz"/>
    <x v="3"/>
    <m/>
    <m/>
    <m/>
    <m/>
    <m/>
    <n v="0"/>
    <n v="4554529"/>
  </r>
  <r>
    <x v="50"/>
    <s v="Thamarati"/>
    <s v="glorysmile"/>
    <x v="9"/>
    <m/>
    <m/>
    <m/>
    <m/>
    <m/>
    <n v="0"/>
    <n v="4348553"/>
  </r>
  <r>
    <x v="50"/>
    <s v="Mufti"/>
    <s v="prise de poids/attote"/>
    <x v="8"/>
    <m/>
    <m/>
    <m/>
    <m/>
    <m/>
    <n v="0"/>
    <n v="4586158"/>
  </r>
  <r>
    <x v="50"/>
    <s v="Hadidja"/>
    <s v="parfum de bouche"/>
    <x v="12"/>
    <m/>
    <m/>
    <m/>
    <m/>
    <m/>
    <n v="0"/>
    <n v="4561858"/>
  </r>
  <r>
    <x v="50"/>
    <s v="Raina"/>
    <s v="jel orange"/>
    <x v="14"/>
    <m/>
    <m/>
    <m/>
    <m/>
    <m/>
    <n v="0"/>
    <n v="4587211"/>
  </r>
  <r>
    <x v="50"/>
    <s v="lutfia"/>
    <s v="glorysmile/savon au riz"/>
    <x v="15"/>
    <m/>
    <m/>
    <m/>
    <m/>
    <m/>
    <n v="0"/>
    <n v="4221767"/>
  </r>
  <r>
    <x v="50"/>
    <s v="fayrati"/>
    <s v="huile/glorysmile/savon au riz"/>
    <x v="18"/>
    <m/>
    <m/>
    <m/>
    <m/>
    <m/>
    <n v="0"/>
    <n v="4463888"/>
  </r>
  <r>
    <x v="50"/>
    <s v="Mariame"/>
    <m/>
    <x v="17"/>
    <m/>
    <m/>
    <m/>
    <m/>
    <m/>
    <n v="0"/>
    <n v="4080782"/>
  </r>
  <r>
    <x v="50"/>
    <s v="riwad"/>
    <s v="poudre de poids/savon au riz"/>
    <x v="19"/>
    <m/>
    <m/>
    <m/>
    <m/>
    <m/>
    <n v="0"/>
    <n v="4559847"/>
  </r>
  <r>
    <x v="50"/>
    <s v="Asna"/>
    <s v="glorysmile"/>
    <x v="6"/>
    <m/>
    <m/>
    <m/>
    <m/>
    <m/>
    <n v="0"/>
    <n v="4541035"/>
  </r>
  <r>
    <x v="50"/>
    <s v="balmata"/>
    <s v="prise de poids /savon au riz"/>
    <x v="20"/>
    <m/>
    <m/>
    <m/>
    <m/>
    <m/>
    <n v="0"/>
    <n v="4636761"/>
  </r>
  <r>
    <x v="50"/>
    <s v="lutfat"/>
    <s v="jel orange/prise de poids"/>
    <x v="21"/>
    <m/>
    <m/>
    <m/>
    <m/>
    <m/>
    <n v="0"/>
    <n v="4636772"/>
  </r>
  <r>
    <x v="50"/>
    <s v="hamida"/>
    <s v="savon au riz/prise de poids"/>
    <x v="22"/>
    <m/>
    <m/>
    <m/>
    <m/>
    <m/>
    <n v="0"/>
    <n v="3947053"/>
  </r>
  <r>
    <x v="50"/>
    <s v="nayla"/>
    <s v="jel orange /savon orange"/>
    <x v="23"/>
    <m/>
    <m/>
    <m/>
    <m/>
    <m/>
    <n v="0"/>
    <n v="4587817"/>
  </r>
  <r>
    <x v="50"/>
    <s v="suraya"/>
    <s v="prise de poids/the minceur"/>
    <x v="24"/>
    <m/>
    <m/>
    <m/>
    <m/>
    <m/>
    <n v="0"/>
    <n v="3330821"/>
  </r>
  <r>
    <x v="50"/>
    <s v="coach"/>
    <s v="moto"/>
    <x v="25"/>
    <m/>
    <m/>
    <m/>
    <m/>
    <m/>
    <n v="0"/>
    <n v="4090831"/>
  </r>
  <r>
    <x v="50"/>
    <s v="malika"/>
    <s v="glorysmile/gel orange"/>
    <x v="26"/>
    <m/>
    <m/>
    <m/>
    <m/>
    <m/>
    <n v="0"/>
    <n v="4209873"/>
  </r>
  <r>
    <x v="50"/>
    <s v="rabianti"/>
    <s v="glorysmile/gel orange"/>
    <x v="27"/>
    <m/>
    <m/>
    <m/>
    <m/>
    <m/>
    <n v="0"/>
    <n v="4937885"/>
  </r>
  <r>
    <x v="50"/>
    <s v="Nadjma"/>
    <m/>
    <x v="7"/>
    <m/>
    <m/>
    <m/>
    <m/>
    <m/>
    <n v="0"/>
    <n v="4476670"/>
  </r>
  <r>
    <x v="51"/>
    <s v="Boutique de Soin"/>
    <s v="jel orange"/>
    <x v="0"/>
    <m/>
    <n v="1"/>
    <m/>
    <n v="12500"/>
    <n v="1500"/>
    <n v="0"/>
    <n v="4316190"/>
  </r>
  <r>
    <x v="51"/>
    <s v="Ben Store"/>
    <s v="prise de poids/savon de riz"/>
    <x v="3"/>
    <m/>
    <m/>
    <m/>
    <m/>
    <m/>
    <n v="0"/>
    <n v="4554529"/>
  </r>
  <r>
    <x v="51"/>
    <s v="Thamarati"/>
    <s v="glorysmile"/>
    <x v="9"/>
    <m/>
    <m/>
    <m/>
    <m/>
    <m/>
    <n v="0"/>
    <n v="4348553"/>
  </r>
  <r>
    <x v="51"/>
    <s v="Mufti"/>
    <s v="prise de poids/attote"/>
    <x v="8"/>
    <m/>
    <m/>
    <m/>
    <m/>
    <m/>
    <n v="0"/>
    <n v="4586158"/>
  </r>
  <r>
    <x v="51"/>
    <s v="Hadidja"/>
    <s v="parfum de bouche"/>
    <x v="12"/>
    <m/>
    <n v="2"/>
    <m/>
    <n v="7000"/>
    <n v="2000"/>
    <n v="0"/>
    <n v="4561858"/>
  </r>
  <r>
    <x v="51"/>
    <s v="Raina"/>
    <s v="jel orange"/>
    <x v="14"/>
    <m/>
    <m/>
    <m/>
    <m/>
    <m/>
    <n v="0"/>
    <n v="4587211"/>
  </r>
  <r>
    <x v="51"/>
    <s v="lutfia"/>
    <s v="glorysmile/savon au riz"/>
    <x v="15"/>
    <m/>
    <m/>
    <m/>
    <m/>
    <m/>
    <n v="0"/>
    <n v="4221767"/>
  </r>
  <r>
    <x v="51"/>
    <s v="fayrati"/>
    <s v="huile/glorysmile/savon au riz"/>
    <x v="18"/>
    <m/>
    <m/>
    <m/>
    <m/>
    <m/>
    <n v="0"/>
    <n v="4463888"/>
  </r>
  <r>
    <x v="51"/>
    <s v="Mariame"/>
    <m/>
    <x v="17"/>
    <m/>
    <m/>
    <m/>
    <m/>
    <m/>
    <n v="0"/>
    <n v="4080782"/>
  </r>
  <r>
    <x v="51"/>
    <s v="riwad"/>
    <s v="poudre de poids/savon au riz"/>
    <x v="19"/>
    <m/>
    <m/>
    <m/>
    <m/>
    <m/>
    <n v="0"/>
    <n v="4559847"/>
  </r>
  <r>
    <x v="51"/>
    <s v="Asna"/>
    <s v="glorysmile"/>
    <x v="6"/>
    <m/>
    <m/>
    <m/>
    <m/>
    <m/>
    <n v="0"/>
    <n v="4541035"/>
  </r>
  <r>
    <x v="51"/>
    <s v="balmata"/>
    <s v="prise de poids /savon au riz"/>
    <x v="20"/>
    <m/>
    <m/>
    <m/>
    <m/>
    <m/>
    <n v="0"/>
    <n v="4636761"/>
  </r>
  <r>
    <x v="51"/>
    <s v="lutfat"/>
    <s v="jel orange/prise de poids"/>
    <x v="21"/>
    <m/>
    <m/>
    <m/>
    <m/>
    <m/>
    <n v="0"/>
    <n v="4636772"/>
  </r>
  <r>
    <x v="51"/>
    <s v="hamida"/>
    <s v="savon au riz/prise de poids"/>
    <x v="22"/>
    <m/>
    <m/>
    <m/>
    <m/>
    <m/>
    <n v="0"/>
    <n v="3947053"/>
  </r>
  <r>
    <x v="51"/>
    <s v="nayla"/>
    <s v="jel orange /savon orange"/>
    <x v="23"/>
    <m/>
    <n v="1"/>
    <m/>
    <n v="12500"/>
    <n v="1500"/>
    <n v="0"/>
    <n v="4587817"/>
  </r>
  <r>
    <x v="51"/>
    <s v="suraya"/>
    <s v="prise de poids/the minceur"/>
    <x v="24"/>
    <m/>
    <n v="1"/>
    <m/>
    <n v="12500"/>
    <n v="2500"/>
    <n v="0"/>
    <n v="3330821"/>
  </r>
  <r>
    <x v="51"/>
    <s v="coach"/>
    <s v="moto"/>
    <x v="25"/>
    <m/>
    <m/>
    <m/>
    <m/>
    <m/>
    <n v="0"/>
    <n v="4090831"/>
  </r>
  <r>
    <x v="51"/>
    <s v="malika"/>
    <s v="glorysmile/gel orange"/>
    <x v="26"/>
    <m/>
    <n v="1"/>
    <m/>
    <n v="17500"/>
    <n v="3500"/>
    <n v="0"/>
    <n v="4209873"/>
  </r>
  <r>
    <x v="51"/>
    <s v="rabianti"/>
    <s v="glorysmile/gel orange"/>
    <x v="27"/>
    <m/>
    <m/>
    <m/>
    <m/>
    <m/>
    <n v="0"/>
    <n v="4937885"/>
  </r>
  <r>
    <x v="51"/>
    <s v="Nadjma"/>
    <m/>
    <x v="7"/>
    <m/>
    <m/>
    <m/>
    <m/>
    <m/>
    <n v="0"/>
    <n v="4476670"/>
  </r>
  <r>
    <x v="52"/>
    <s v="Boutique de Soin"/>
    <s v="jel orange"/>
    <x v="0"/>
    <m/>
    <m/>
    <m/>
    <m/>
    <m/>
    <n v="0"/>
    <n v="4316190"/>
  </r>
  <r>
    <x v="52"/>
    <s v="Ben Store"/>
    <s v="prise de poids/savon de riz"/>
    <x v="3"/>
    <m/>
    <m/>
    <m/>
    <m/>
    <m/>
    <n v="0"/>
    <n v="4554529"/>
  </r>
  <r>
    <x v="52"/>
    <s v="Thamarati"/>
    <s v="glorysmile"/>
    <x v="9"/>
    <m/>
    <n v="4"/>
    <m/>
    <n v="33000"/>
    <n v="6000"/>
    <n v="0"/>
    <n v="4348553"/>
  </r>
  <r>
    <x v="52"/>
    <s v="Mufti"/>
    <s v="prise de poids/attote"/>
    <x v="8"/>
    <m/>
    <m/>
    <m/>
    <m/>
    <m/>
    <n v="0"/>
    <n v="4586158"/>
  </r>
  <r>
    <x v="52"/>
    <s v="Hadidja"/>
    <s v="parfum de bouche"/>
    <x v="12"/>
    <m/>
    <n v="1"/>
    <m/>
    <n v="4000"/>
    <n v="1000"/>
    <n v="0"/>
    <n v="4561858"/>
  </r>
  <r>
    <x v="52"/>
    <s v="Raina"/>
    <s v="jel orange"/>
    <x v="14"/>
    <m/>
    <m/>
    <m/>
    <m/>
    <m/>
    <n v="0"/>
    <n v="4587211"/>
  </r>
  <r>
    <x v="52"/>
    <s v="lutfia"/>
    <s v="glorysmile/savon au riz"/>
    <x v="15"/>
    <m/>
    <n v="1"/>
    <m/>
    <n v="12500"/>
    <n v="1500"/>
    <n v="0"/>
    <n v="4221767"/>
  </r>
  <r>
    <x v="52"/>
    <s v="fayrati"/>
    <s v="huile/glorysmile/savon au riz"/>
    <x v="18"/>
    <m/>
    <m/>
    <m/>
    <m/>
    <m/>
    <n v="0"/>
    <n v="4463888"/>
  </r>
  <r>
    <x v="52"/>
    <s v="Mariame"/>
    <m/>
    <x v="17"/>
    <m/>
    <m/>
    <m/>
    <m/>
    <m/>
    <n v="0"/>
    <n v="4080782"/>
  </r>
  <r>
    <x v="52"/>
    <s v="riwad"/>
    <s v="poudre de poids/savon au riz"/>
    <x v="19"/>
    <m/>
    <n v="2"/>
    <m/>
    <n v="30000"/>
    <n v="5000"/>
    <n v="0"/>
    <n v="4559847"/>
  </r>
  <r>
    <x v="52"/>
    <s v="Asna"/>
    <s v="glorysmile"/>
    <x v="6"/>
    <m/>
    <m/>
    <m/>
    <m/>
    <m/>
    <n v="0"/>
    <n v="4541035"/>
  </r>
  <r>
    <x v="52"/>
    <s v="balmata"/>
    <s v="prise de poids /savon au riz"/>
    <x v="20"/>
    <m/>
    <m/>
    <m/>
    <m/>
    <m/>
    <n v="0"/>
    <n v="4636761"/>
  </r>
  <r>
    <x v="52"/>
    <s v="lutfat"/>
    <s v="jel orange/prise de poids"/>
    <x v="21"/>
    <m/>
    <n v="1"/>
    <m/>
    <n v="20000"/>
    <n v="2000"/>
    <n v="0"/>
    <n v="4636772"/>
  </r>
  <r>
    <x v="52"/>
    <s v="hamida"/>
    <s v="savon au riz/prise de poids"/>
    <x v="22"/>
    <m/>
    <m/>
    <m/>
    <m/>
    <m/>
    <n v="0"/>
    <n v="3947053"/>
  </r>
  <r>
    <x v="52"/>
    <s v="nayla"/>
    <s v="jel orange /savon orange"/>
    <x v="23"/>
    <m/>
    <m/>
    <m/>
    <m/>
    <m/>
    <n v="0"/>
    <n v="4587817"/>
  </r>
  <r>
    <x v="52"/>
    <s v="suraya"/>
    <s v="prise de poids/the minceur"/>
    <x v="24"/>
    <m/>
    <n v="2"/>
    <m/>
    <n v="8000"/>
    <n v="2000"/>
    <n v="0"/>
    <n v="3330821"/>
  </r>
  <r>
    <x v="52"/>
    <s v="coach"/>
    <s v="moto"/>
    <x v="25"/>
    <m/>
    <m/>
    <m/>
    <m/>
    <m/>
    <n v="0"/>
    <n v="4090831"/>
  </r>
  <r>
    <x v="52"/>
    <s v="malika"/>
    <s v="glorysmile/gel orange"/>
    <x v="26"/>
    <m/>
    <n v="3"/>
    <m/>
    <n v="14000"/>
    <n v="3000"/>
    <n v="0"/>
    <n v="4209873"/>
  </r>
  <r>
    <x v="52"/>
    <s v="rabianti"/>
    <s v="glorysmile/gel orange"/>
    <x v="27"/>
    <m/>
    <m/>
    <m/>
    <m/>
    <m/>
    <n v="0"/>
    <n v="4937885"/>
  </r>
  <r>
    <x v="52"/>
    <s v="Nadjma"/>
    <m/>
    <x v="7"/>
    <m/>
    <m/>
    <m/>
    <m/>
    <m/>
    <n v="0"/>
    <n v="4476670"/>
  </r>
  <r>
    <x v="53"/>
    <s v="Boutique de Soin"/>
    <s v="jel orange"/>
    <x v="0"/>
    <m/>
    <m/>
    <m/>
    <m/>
    <m/>
    <n v="0"/>
    <n v="4316190"/>
  </r>
  <r>
    <x v="53"/>
    <s v="Ben Store"/>
    <s v="prise de poids/savon de riz"/>
    <x v="3"/>
    <m/>
    <m/>
    <m/>
    <m/>
    <m/>
    <n v="0"/>
    <n v="4554529"/>
  </r>
  <r>
    <x v="53"/>
    <s v="Thamarati"/>
    <s v="glorysmile"/>
    <x v="9"/>
    <m/>
    <m/>
    <m/>
    <m/>
    <m/>
    <n v="0"/>
    <n v="4348553"/>
  </r>
  <r>
    <x v="53"/>
    <s v="Mufti"/>
    <s v="prise de poids/attote"/>
    <x v="8"/>
    <m/>
    <m/>
    <m/>
    <m/>
    <m/>
    <n v="0"/>
    <n v="4586158"/>
  </r>
  <r>
    <x v="53"/>
    <s v="Hadidja"/>
    <s v="parfum de bouche"/>
    <x v="12"/>
    <m/>
    <m/>
    <m/>
    <m/>
    <m/>
    <n v="0"/>
    <n v="4561858"/>
  </r>
  <r>
    <x v="53"/>
    <s v="Raina"/>
    <s v="jel orange"/>
    <x v="14"/>
    <m/>
    <m/>
    <m/>
    <m/>
    <m/>
    <n v="0"/>
    <n v="4587211"/>
  </r>
  <r>
    <x v="53"/>
    <s v="lutfia"/>
    <s v="glorysmile/savon au riz"/>
    <x v="15"/>
    <m/>
    <m/>
    <m/>
    <m/>
    <m/>
    <n v="0"/>
    <n v="4221767"/>
  </r>
  <r>
    <x v="53"/>
    <s v="fayrati"/>
    <s v="huile/glorysmile/savon au riz"/>
    <x v="18"/>
    <m/>
    <m/>
    <m/>
    <m/>
    <m/>
    <n v="0"/>
    <n v="4463888"/>
  </r>
  <r>
    <x v="53"/>
    <s v="Mariame"/>
    <m/>
    <x v="17"/>
    <m/>
    <m/>
    <m/>
    <m/>
    <m/>
    <n v="0"/>
    <n v="4080782"/>
  </r>
  <r>
    <x v="53"/>
    <s v="riwad"/>
    <s v="poudre de poids/savon au riz"/>
    <x v="19"/>
    <m/>
    <m/>
    <m/>
    <m/>
    <m/>
    <n v="0"/>
    <n v="4559847"/>
  </r>
  <r>
    <x v="53"/>
    <s v="Asna"/>
    <s v="glorysmile"/>
    <x v="6"/>
    <m/>
    <m/>
    <m/>
    <m/>
    <m/>
    <n v="0"/>
    <n v="4541035"/>
  </r>
  <r>
    <x v="53"/>
    <s v="balmata"/>
    <s v="prise de poids /savon au riz"/>
    <x v="20"/>
    <m/>
    <m/>
    <m/>
    <m/>
    <m/>
    <n v="0"/>
    <n v="4636761"/>
  </r>
  <r>
    <x v="53"/>
    <s v="lutfat"/>
    <s v="jel orange/prise de poids"/>
    <x v="21"/>
    <m/>
    <m/>
    <m/>
    <m/>
    <m/>
    <n v="0"/>
    <n v="4636772"/>
  </r>
  <r>
    <x v="53"/>
    <s v="hamida"/>
    <s v="savon au riz/prise de poids"/>
    <x v="22"/>
    <m/>
    <m/>
    <m/>
    <m/>
    <m/>
    <n v="0"/>
    <n v="3947053"/>
  </r>
  <r>
    <x v="53"/>
    <s v="nayla"/>
    <s v="jel orange /savon orange"/>
    <x v="23"/>
    <m/>
    <m/>
    <m/>
    <m/>
    <m/>
    <n v="0"/>
    <n v="4587817"/>
  </r>
  <r>
    <x v="53"/>
    <s v="suraya"/>
    <s v="prise de poids/the minceur"/>
    <x v="24"/>
    <m/>
    <m/>
    <m/>
    <m/>
    <m/>
    <n v="0"/>
    <n v="3330821"/>
  </r>
  <r>
    <x v="53"/>
    <s v="coach"/>
    <s v="moto"/>
    <x v="25"/>
    <m/>
    <m/>
    <m/>
    <m/>
    <m/>
    <n v="0"/>
    <n v="4090831"/>
  </r>
  <r>
    <x v="53"/>
    <s v="malika"/>
    <s v="glorysmile/gel orange"/>
    <x v="26"/>
    <m/>
    <m/>
    <m/>
    <m/>
    <m/>
    <n v="0"/>
    <n v="4209873"/>
  </r>
  <r>
    <x v="53"/>
    <s v="rabianti"/>
    <s v="glorysmile/gel orange"/>
    <x v="27"/>
    <m/>
    <m/>
    <m/>
    <m/>
    <m/>
    <n v="0"/>
    <n v="4937885"/>
  </r>
  <r>
    <x v="53"/>
    <s v="Nadjma"/>
    <m/>
    <x v="7"/>
    <m/>
    <m/>
    <m/>
    <m/>
    <m/>
    <n v="0"/>
    <n v="4476670"/>
  </r>
  <r>
    <x v="54"/>
    <s v="Boutique de Soin"/>
    <s v="jel orange"/>
    <x v="0"/>
    <m/>
    <n v="1"/>
    <m/>
    <n v="4000"/>
    <n v="1000"/>
    <n v="0"/>
    <n v="4316190"/>
  </r>
  <r>
    <x v="54"/>
    <s v="Ben Store"/>
    <s v="prise de poids/savon de riz"/>
    <x v="3"/>
    <m/>
    <n v="2"/>
    <m/>
    <n v="16500"/>
    <n v="2500"/>
    <n v="0"/>
    <n v="4554529"/>
  </r>
  <r>
    <x v="54"/>
    <s v="Thamarati"/>
    <s v="glorysmile"/>
    <x v="9"/>
    <m/>
    <m/>
    <m/>
    <m/>
    <m/>
    <n v="0"/>
    <n v="4348553"/>
  </r>
  <r>
    <x v="54"/>
    <s v="Mufti"/>
    <s v="prise de poids/attote"/>
    <x v="8"/>
    <m/>
    <m/>
    <m/>
    <m/>
    <m/>
    <n v="0"/>
    <n v="4586158"/>
  </r>
  <r>
    <x v="54"/>
    <s v="Hadidja"/>
    <s v="parfum de bouche"/>
    <x v="12"/>
    <m/>
    <m/>
    <m/>
    <m/>
    <m/>
    <n v="0"/>
    <n v="4561858"/>
  </r>
  <r>
    <x v="54"/>
    <s v="Raina"/>
    <s v="jel orange"/>
    <x v="14"/>
    <m/>
    <m/>
    <m/>
    <m/>
    <m/>
    <n v="0"/>
    <n v="4587211"/>
  </r>
  <r>
    <x v="54"/>
    <s v="lutfia"/>
    <s v="glorysmile/savon au riz"/>
    <x v="15"/>
    <m/>
    <m/>
    <m/>
    <m/>
    <m/>
    <n v="0"/>
    <n v="4221767"/>
  </r>
  <r>
    <x v="54"/>
    <s v="fayrati"/>
    <s v="huile/glorysmile/savon au riz"/>
    <x v="18"/>
    <m/>
    <m/>
    <m/>
    <m/>
    <m/>
    <n v="0"/>
    <n v="4463888"/>
  </r>
  <r>
    <x v="54"/>
    <s v="Mariame"/>
    <m/>
    <x v="17"/>
    <m/>
    <m/>
    <m/>
    <m/>
    <m/>
    <n v="0"/>
    <n v="4080782"/>
  </r>
  <r>
    <x v="54"/>
    <s v="riwad"/>
    <s v="poudre de poids/savon au riz"/>
    <x v="19"/>
    <m/>
    <m/>
    <m/>
    <m/>
    <m/>
    <n v="0"/>
    <n v="4559847"/>
  </r>
  <r>
    <x v="54"/>
    <s v="Asna"/>
    <s v="glorysmile"/>
    <x v="6"/>
    <m/>
    <m/>
    <m/>
    <m/>
    <m/>
    <n v="0"/>
    <n v="4541035"/>
  </r>
  <r>
    <x v="54"/>
    <s v="balmata"/>
    <s v="prise de poids /savon au riz"/>
    <x v="20"/>
    <m/>
    <n v="1"/>
    <m/>
    <n v="4000"/>
    <n v="1000"/>
    <n v="0"/>
    <n v="4636761"/>
  </r>
  <r>
    <x v="54"/>
    <s v="lutfat"/>
    <s v="jel orange/prise de poids"/>
    <x v="21"/>
    <m/>
    <n v="3"/>
    <m/>
    <n v="12000"/>
    <n v="3000"/>
    <n v="0"/>
    <n v="4636772"/>
  </r>
  <r>
    <x v="54"/>
    <s v="hamida"/>
    <s v="savon au riz/prise de poids"/>
    <x v="22"/>
    <m/>
    <m/>
    <m/>
    <m/>
    <m/>
    <n v="0"/>
    <n v="3947053"/>
  </r>
  <r>
    <x v="54"/>
    <s v="nayla"/>
    <s v="jel orange /savon orange"/>
    <x v="23"/>
    <m/>
    <n v="2"/>
    <m/>
    <n v="8000"/>
    <n v="2000"/>
    <n v="0"/>
    <n v="4587817"/>
  </r>
  <r>
    <x v="54"/>
    <s v="suraya"/>
    <s v="prise de poids/the minceur"/>
    <x v="24"/>
    <m/>
    <m/>
    <m/>
    <m/>
    <m/>
    <n v="0"/>
    <n v="3330821"/>
  </r>
  <r>
    <x v="54"/>
    <s v="coach"/>
    <s v="moto"/>
    <x v="25"/>
    <m/>
    <m/>
    <m/>
    <m/>
    <m/>
    <n v="0"/>
    <n v="4090831"/>
  </r>
  <r>
    <x v="54"/>
    <s v="malika"/>
    <s v="glorysmile/gel orange"/>
    <x v="26"/>
    <m/>
    <m/>
    <m/>
    <m/>
    <m/>
    <n v="0"/>
    <n v="4209873"/>
  </r>
  <r>
    <x v="54"/>
    <s v="rabianti"/>
    <s v="glorysmile/gel orange"/>
    <x v="27"/>
    <m/>
    <n v="2"/>
    <m/>
    <n v="31000"/>
    <n v="3500"/>
    <n v="0"/>
    <n v="4937885"/>
  </r>
  <r>
    <x v="54"/>
    <s v="Nadjma"/>
    <m/>
    <x v="7"/>
    <m/>
    <m/>
    <m/>
    <m/>
    <m/>
    <n v="0"/>
    <n v="4476670"/>
  </r>
  <r>
    <x v="55"/>
    <s v="Boutique de Soin"/>
    <s v="jel orange"/>
    <x v="0"/>
    <m/>
    <n v="1"/>
    <m/>
    <n v="8500"/>
    <n v="2500"/>
    <n v="0"/>
    <n v="4316190"/>
  </r>
  <r>
    <x v="55"/>
    <s v="Ben Store"/>
    <s v="prise de poids/savon de riz"/>
    <x v="3"/>
    <m/>
    <m/>
    <m/>
    <m/>
    <m/>
    <n v="0"/>
    <n v="4554529"/>
  </r>
  <r>
    <x v="55"/>
    <s v="Thamarati"/>
    <s v="glorysmile"/>
    <x v="9"/>
    <m/>
    <m/>
    <m/>
    <m/>
    <m/>
    <n v="0"/>
    <n v="4348553"/>
  </r>
  <r>
    <x v="55"/>
    <s v="Mufti"/>
    <s v="prise de poids/attote"/>
    <x v="8"/>
    <m/>
    <m/>
    <m/>
    <m/>
    <m/>
    <n v="0"/>
    <n v="4586158"/>
  </r>
  <r>
    <x v="55"/>
    <s v="Hadidja"/>
    <s v="parfum de bouche"/>
    <x v="12"/>
    <m/>
    <m/>
    <m/>
    <m/>
    <m/>
    <n v="0"/>
    <n v="4561858"/>
  </r>
  <r>
    <x v="55"/>
    <s v="Raina"/>
    <s v="jel orange"/>
    <x v="14"/>
    <m/>
    <m/>
    <m/>
    <m/>
    <m/>
    <n v="0"/>
    <n v="4587211"/>
  </r>
  <r>
    <x v="55"/>
    <s v="lutfia"/>
    <s v="glorysmile/savon au riz"/>
    <x v="15"/>
    <m/>
    <n v="1"/>
    <m/>
    <n v="9500"/>
    <m/>
    <n v="0"/>
    <n v="4221767"/>
  </r>
  <r>
    <x v="55"/>
    <s v="fayrati"/>
    <s v="huile/glorysmile/savon au riz"/>
    <x v="18"/>
    <m/>
    <n v="1"/>
    <m/>
    <n v="4000"/>
    <n v="1000"/>
    <n v="0"/>
    <n v="4463888"/>
  </r>
  <r>
    <x v="55"/>
    <s v="Mariame"/>
    <m/>
    <x v="17"/>
    <m/>
    <m/>
    <m/>
    <m/>
    <m/>
    <n v="0"/>
    <n v="4080782"/>
  </r>
  <r>
    <x v="55"/>
    <s v="riwad"/>
    <s v="poudre de poids/savon au riz"/>
    <x v="19"/>
    <m/>
    <m/>
    <m/>
    <m/>
    <m/>
    <n v="0"/>
    <n v="4559847"/>
  </r>
  <r>
    <x v="55"/>
    <s v="Asna"/>
    <s v="glorysmile"/>
    <x v="6"/>
    <m/>
    <m/>
    <m/>
    <m/>
    <m/>
    <n v="0"/>
    <n v="4541035"/>
  </r>
  <r>
    <x v="55"/>
    <s v="balmata"/>
    <s v="prise de poids /savon au riz"/>
    <x v="20"/>
    <m/>
    <m/>
    <m/>
    <m/>
    <m/>
    <n v="0"/>
    <n v="4636761"/>
  </r>
  <r>
    <x v="55"/>
    <s v="lutfat"/>
    <s v="jel orange/prise de poids"/>
    <x v="21"/>
    <m/>
    <n v="1"/>
    <m/>
    <n v="12500"/>
    <n v="1500"/>
    <n v="0"/>
    <n v="4636772"/>
  </r>
  <r>
    <x v="55"/>
    <s v="hamida"/>
    <s v="savon au riz/prise de poids"/>
    <x v="22"/>
    <m/>
    <m/>
    <m/>
    <m/>
    <m/>
    <n v="0"/>
    <n v="3947053"/>
  </r>
  <r>
    <x v="55"/>
    <s v="nayla"/>
    <s v="jel orange /savon orange"/>
    <x v="23"/>
    <m/>
    <n v="1"/>
    <m/>
    <n v="7500"/>
    <n v="1500"/>
    <n v="0"/>
    <n v="4587817"/>
  </r>
  <r>
    <x v="55"/>
    <s v="suraya"/>
    <s v="prise de poids/the minceur"/>
    <x v="24"/>
    <m/>
    <m/>
    <m/>
    <m/>
    <m/>
    <n v="0"/>
    <n v="3330821"/>
  </r>
  <r>
    <x v="55"/>
    <s v="coach"/>
    <s v="moto"/>
    <x v="25"/>
    <m/>
    <m/>
    <m/>
    <m/>
    <m/>
    <n v="0"/>
    <n v="4090831"/>
  </r>
  <r>
    <x v="55"/>
    <s v="malika"/>
    <s v="glorysmile/gel orange"/>
    <x v="26"/>
    <m/>
    <m/>
    <m/>
    <m/>
    <m/>
    <n v="0"/>
    <n v="4209873"/>
  </r>
  <r>
    <x v="55"/>
    <s v="rabianti"/>
    <s v="glorysmile/gel orange"/>
    <x v="27"/>
    <m/>
    <n v="1"/>
    <m/>
    <n v="12000"/>
    <n v="2000"/>
    <n v="0"/>
    <n v="4937885"/>
  </r>
  <r>
    <x v="55"/>
    <s v="Nadjma"/>
    <m/>
    <x v="7"/>
    <m/>
    <m/>
    <m/>
    <m/>
    <m/>
    <n v="0"/>
    <n v="4476670"/>
  </r>
  <r>
    <x v="56"/>
    <s v="Boutique de Soin"/>
    <s v="jel orange"/>
    <x v="0"/>
    <m/>
    <n v="5"/>
    <m/>
    <n v="51500"/>
    <n v="6000"/>
    <n v="0"/>
    <n v="4316190"/>
  </r>
  <r>
    <x v="56"/>
    <s v="Ben Store"/>
    <s v="prise de poids/savon de riz"/>
    <x v="3"/>
    <m/>
    <n v="5"/>
    <m/>
    <n v="35500"/>
    <n v="1000"/>
    <n v="0"/>
    <n v="4554529"/>
  </r>
  <r>
    <x v="56"/>
    <s v="Thamarati"/>
    <s v="glorysmile"/>
    <x v="9"/>
    <m/>
    <n v="2"/>
    <m/>
    <n v="20000"/>
    <m/>
    <n v="0"/>
    <n v="4348553"/>
  </r>
  <r>
    <x v="56"/>
    <s v="Mufti"/>
    <s v="prise de poids/attote"/>
    <x v="8"/>
    <m/>
    <n v="1"/>
    <m/>
    <n v="12500"/>
    <n v="2500"/>
    <n v="0"/>
    <n v="4586158"/>
  </r>
  <r>
    <x v="56"/>
    <s v="Hadidja"/>
    <s v="parfum de bouche"/>
    <x v="12"/>
    <m/>
    <m/>
    <m/>
    <m/>
    <m/>
    <n v="0"/>
    <n v="4561858"/>
  </r>
  <r>
    <x v="56"/>
    <s v="Raina"/>
    <s v="jel orange"/>
    <x v="14"/>
    <m/>
    <m/>
    <m/>
    <m/>
    <m/>
    <n v="0"/>
    <n v="4587211"/>
  </r>
  <r>
    <x v="56"/>
    <s v="lutfia"/>
    <s v="glorysmile/savon au riz"/>
    <x v="15"/>
    <m/>
    <n v="1"/>
    <m/>
    <n v="8000"/>
    <m/>
    <n v="0"/>
    <n v="4221767"/>
  </r>
  <r>
    <x v="56"/>
    <s v="fayrati"/>
    <s v="huile/glorysmile/savon au riz"/>
    <x v="18"/>
    <m/>
    <m/>
    <m/>
    <m/>
    <m/>
    <n v="0"/>
    <n v="4463888"/>
  </r>
  <r>
    <x v="56"/>
    <s v="Mariame"/>
    <m/>
    <x v="17"/>
    <m/>
    <m/>
    <m/>
    <m/>
    <m/>
    <n v="0"/>
    <n v="4080782"/>
  </r>
  <r>
    <x v="56"/>
    <s v="riwad"/>
    <s v="poudre de poids/savon au riz"/>
    <x v="19"/>
    <m/>
    <n v="1"/>
    <m/>
    <n v="12500"/>
    <n v="1500"/>
    <n v="0"/>
    <n v="4559847"/>
  </r>
  <r>
    <x v="56"/>
    <s v="Asna"/>
    <s v="glorysmile"/>
    <x v="6"/>
    <m/>
    <m/>
    <m/>
    <m/>
    <m/>
    <n v="0"/>
    <n v="4541035"/>
  </r>
  <r>
    <x v="56"/>
    <s v="balmata"/>
    <s v="prise de poids /savon au riz"/>
    <x v="20"/>
    <m/>
    <m/>
    <m/>
    <m/>
    <m/>
    <n v="0"/>
    <n v="4636761"/>
  </r>
  <r>
    <x v="56"/>
    <s v="lutfat"/>
    <s v="jel orange/prise de poids"/>
    <x v="21"/>
    <m/>
    <n v="4"/>
    <m/>
    <n v="37500"/>
    <n v="5000"/>
    <n v="0"/>
    <n v="4636772"/>
  </r>
  <r>
    <x v="56"/>
    <s v="hamida"/>
    <s v="savon au riz/prise de poids"/>
    <x v="22"/>
    <m/>
    <m/>
    <m/>
    <m/>
    <m/>
    <n v="0"/>
    <n v="3947053"/>
  </r>
  <r>
    <x v="56"/>
    <s v="nayla"/>
    <s v="jel orange /savon orange"/>
    <x v="23"/>
    <m/>
    <n v="1"/>
    <m/>
    <n v="4000"/>
    <m/>
    <n v="0"/>
    <n v="4587817"/>
  </r>
  <r>
    <x v="56"/>
    <s v="suraya"/>
    <s v="prise de poids/the minceur"/>
    <x v="24"/>
    <m/>
    <m/>
    <m/>
    <m/>
    <m/>
    <n v="0"/>
    <n v="3330821"/>
  </r>
  <r>
    <x v="56"/>
    <s v="coach"/>
    <s v="moto"/>
    <x v="25"/>
    <m/>
    <m/>
    <m/>
    <m/>
    <m/>
    <n v="0"/>
    <n v="4090831"/>
  </r>
  <r>
    <x v="56"/>
    <s v="malika"/>
    <s v="glorysmile/gel orange"/>
    <x v="26"/>
    <m/>
    <n v="2"/>
    <m/>
    <n v="27500"/>
    <n v="5000"/>
    <n v="0"/>
    <n v="4209873"/>
  </r>
  <r>
    <x v="56"/>
    <s v="rabianti"/>
    <s v="glorysmile/gel orange"/>
    <x v="27"/>
    <m/>
    <m/>
    <m/>
    <m/>
    <m/>
    <n v="0"/>
    <n v="4937885"/>
  </r>
  <r>
    <x v="56"/>
    <s v="Nadjma"/>
    <m/>
    <x v="7"/>
    <m/>
    <m/>
    <m/>
    <m/>
    <m/>
    <n v="0"/>
    <n v="4476670"/>
  </r>
  <r>
    <x v="57"/>
    <s v="Boutique de Soin"/>
    <s v="jel orange"/>
    <x v="0"/>
    <n v="5"/>
    <n v="1"/>
    <n v="0.19"/>
    <n v="4000"/>
    <n v="1000"/>
    <n v="0.2"/>
    <n v="4316190"/>
  </r>
  <r>
    <x v="57"/>
    <s v="Ben Store"/>
    <s v="prise de poids/savon de riz"/>
    <x v="3"/>
    <m/>
    <m/>
    <m/>
    <m/>
    <m/>
    <n v="0"/>
    <n v="4554529"/>
  </r>
  <r>
    <x v="57"/>
    <s v="Thamarati"/>
    <s v="glorysmile"/>
    <x v="9"/>
    <n v="10"/>
    <n v="2"/>
    <n v="0.16"/>
    <n v="16500"/>
    <n v="2500"/>
    <n v="0.2"/>
    <n v="4348553"/>
  </r>
  <r>
    <x v="57"/>
    <s v="Mufti"/>
    <s v="prise de poids/attote"/>
    <x v="8"/>
    <n v="1"/>
    <n v="1"/>
    <n v="0.11"/>
    <n v="9600"/>
    <n v="2500"/>
    <n v="1"/>
    <n v="4586158"/>
  </r>
  <r>
    <x v="57"/>
    <s v="Hadidja"/>
    <s v="parfum de bouche"/>
    <x v="12"/>
    <m/>
    <m/>
    <m/>
    <m/>
    <m/>
    <n v="0"/>
    <n v="4561858"/>
  </r>
  <r>
    <x v="57"/>
    <s v="Raina"/>
    <s v="jel orange"/>
    <x v="14"/>
    <m/>
    <m/>
    <m/>
    <m/>
    <m/>
    <n v="0"/>
    <n v="4587211"/>
  </r>
  <r>
    <x v="57"/>
    <s v="lutfia"/>
    <s v="glorysmile/savon au riz"/>
    <x v="15"/>
    <m/>
    <n v="2"/>
    <m/>
    <n v="19000"/>
    <m/>
    <n v="0"/>
    <n v="4221767"/>
  </r>
  <r>
    <x v="57"/>
    <s v="fayrati"/>
    <s v="huile/glorysmile/savon au riz"/>
    <x v="18"/>
    <m/>
    <m/>
    <m/>
    <m/>
    <m/>
    <n v="0"/>
    <n v="4463888"/>
  </r>
  <r>
    <x v="57"/>
    <s v="Mariame"/>
    <m/>
    <x v="17"/>
    <m/>
    <m/>
    <m/>
    <m/>
    <m/>
    <n v="0"/>
    <n v="4080782"/>
  </r>
  <r>
    <x v="57"/>
    <s v="riwad"/>
    <s v="poudre de poids/savon au riz"/>
    <x v="19"/>
    <n v="4"/>
    <n v="1"/>
    <n v="0.13"/>
    <n v="10000"/>
    <n v="1500"/>
    <n v="0.25"/>
    <n v="4559847"/>
  </r>
  <r>
    <x v="57"/>
    <s v="Asna"/>
    <s v="glorysmile"/>
    <x v="6"/>
    <m/>
    <m/>
    <m/>
    <m/>
    <m/>
    <n v="0"/>
    <n v="4541035"/>
  </r>
  <r>
    <x v="57"/>
    <s v="balmata"/>
    <s v="prise de poids /savon au riz"/>
    <x v="20"/>
    <n v="5"/>
    <m/>
    <n v="0.11"/>
    <m/>
    <m/>
    <n v="0"/>
    <n v="4636761"/>
  </r>
  <r>
    <x v="57"/>
    <s v="lutfat"/>
    <s v="jel orange/prise de poids"/>
    <x v="21"/>
    <n v="5"/>
    <m/>
    <n v="0.24"/>
    <m/>
    <m/>
    <n v="0"/>
    <n v="4636772"/>
  </r>
  <r>
    <x v="57"/>
    <s v="hamida"/>
    <s v="savon au riz/prise de poids"/>
    <x v="22"/>
    <m/>
    <m/>
    <m/>
    <m/>
    <m/>
    <n v="0"/>
    <n v="3947053"/>
  </r>
  <r>
    <x v="57"/>
    <s v="nayla"/>
    <s v="jel orange /savon orange"/>
    <x v="23"/>
    <n v="5"/>
    <m/>
    <n v="0.1"/>
    <m/>
    <m/>
    <n v="0"/>
    <n v="4587817"/>
  </r>
  <r>
    <x v="57"/>
    <s v="suraya"/>
    <s v="prise de poids/the minceur"/>
    <x v="24"/>
    <m/>
    <n v="1"/>
    <m/>
    <n v="10000"/>
    <n v="2500"/>
    <n v="0"/>
    <n v="3330821"/>
  </r>
  <r>
    <x v="57"/>
    <s v="coach"/>
    <s v="moto"/>
    <x v="25"/>
    <m/>
    <m/>
    <m/>
    <m/>
    <m/>
    <n v="0"/>
    <n v="4090831"/>
  </r>
  <r>
    <x v="57"/>
    <s v="malika"/>
    <s v="glorysmile/gel orange"/>
    <x v="26"/>
    <m/>
    <m/>
    <m/>
    <m/>
    <m/>
    <n v="0"/>
    <n v="4209873"/>
  </r>
  <r>
    <x v="57"/>
    <s v="rabianti"/>
    <s v="glorysmile/gel orange"/>
    <x v="27"/>
    <m/>
    <m/>
    <m/>
    <m/>
    <m/>
    <n v="0"/>
    <n v="4937885"/>
  </r>
  <r>
    <x v="57"/>
    <s v="Nadjma"/>
    <m/>
    <x v="7"/>
    <m/>
    <m/>
    <m/>
    <m/>
    <m/>
    <n v="0"/>
    <n v="4476670"/>
  </r>
  <r>
    <x v="58"/>
    <s v="Boutique de Soin"/>
    <s v="jel orange"/>
    <x v="0"/>
    <n v="12"/>
    <n v="1"/>
    <n v="0.81"/>
    <m/>
    <m/>
    <n v="8.3333333333333329E-2"/>
    <n v="4316190"/>
  </r>
  <r>
    <x v="58"/>
    <s v="Ben Store"/>
    <s v="prise de poids/savon de riz"/>
    <x v="3"/>
    <n v="18"/>
    <m/>
    <n v="1.07"/>
    <m/>
    <m/>
    <n v="0"/>
    <n v="4554529"/>
  </r>
  <r>
    <x v="58"/>
    <s v="Thamarati"/>
    <s v="glorysmile"/>
    <x v="9"/>
    <n v="17"/>
    <m/>
    <n v="1.75"/>
    <m/>
    <m/>
    <n v="0"/>
    <n v="4348553"/>
  </r>
  <r>
    <x v="58"/>
    <s v="Mufti"/>
    <s v="prise de poids/attote"/>
    <x v="8"/>
    <n v="5"/>
    <m/>
    <n v="0.56000000000000005"/>
    <m/>
    <m/>
    <n v="0"/>
    <n v="4586158"/>
  </r>
  <r>
    <x v="58"/>
    <s v="Hadidja"/>
    <s v="parfum de bouche"/>
    <x v="12"/>
    <m/>
    <m/>
    <m/>
    <m/>
    <m/>
    <n v="0"/>
    <n v="4561858"/>
  </r>
  <r>
    <x v="58"/>
    <s v="Raina"/>
    <s v="jel orange"/>
    <x v="14"/>
    <m/>
    <m/>
    <m/>
    <m/>
    <m/>
    <n v="0"/>
    <n v="4587211"/>
  </r>
  <r>
    <x v="58"/>
    <s v="lutfia"/>
    <s v="glorysmile/savon au riz"/>
    <x v="15"/>
    <m/>
    <n v="3"/>
    <m/>
    <n v="28000"/>
    <m/>
    <n v="0"/>
    <n v="4221767"/>
  </r>
  <r>
    <x v="58"/>
    <s v="fayrati"/>
    <s v="huile/glorysmile/savon au riz"/>
    <x v="18"/>
    <m/>
    <m/>
    <m/>
    <m/>
    <m/>
    <n v="0"/>
    <n v="4463888"/>
  </r>
  <r>
    <x v="58"/>
    <s v="Mariame"/>
    <m/>
    <x v="17"/>
    <m/>
    <m/>
    <m/>
    <m/>
    <m/>
    <n v="0"/>
    <n v="4080782"/>
  </r>
  <r>
    <x v="58"/>
    <s v="riwad"/>
    <s v="poudre de poids/savon au riz"/>
    <x v="19"/>
    <n v="11"/>
    <m/>
    <n v="0.86"/>
    <m/>
    <m/>
    <n v="0"/>
    <n v="4559847"/>
  </r>
  <r>
    <x v="58"/>
    <s v="Asna"/>
    <s v="glorysmile"/>
    <x v="6"/>
    <m/>
    <m/>
    <m/>
    <m/>
    <m/>
    <n v="0"/>
    <n v="4541035"/>
  </r>
  <r>
    <x v="58"/>
    <s v="balmata"/>
    <s v="prise de poids /savon au riz"/>
    <x v="20"/>
    <n v="5"/>
    <m/>
    <n v="0.52"/>
    <m/>
    <m/>
    <n v="0"/>
    <n v="4636761"/>
  </r>
  <r>
    <x v="58"/>
    <s v="lutfat"/>
    <s v="jel orange/prise de poids"/>
    <x v="21"/>
    <n v="5"/>
    <n v="1"/>
    <n v="0.91"/>
    <m/>
    <n v="2500"/>
    <n v="0.2"/>
    <n v="4636772"/>
  </r>
  <r>
    <x v="58"/>
    <s v="hamida"/>
    <s v="savon au riz/prise de poids"/>
    <x v="22"/>
    <m/>
    <m/>
    <m/>
    <m/>
    <m/>
    <n v="0"/>
    <n v="3947053"/>
  </r>
  <r>
    <x v="58"/>
    <s v="nayla"/>
    <s v="jel orange /savon orange"/>
    <x v="23"/>
    <n v="8"/>
    <m/>
    <n v="0.57999999999999996"/>
    <m/>
    <m/>
    <n v="0"/>
    <n v="4587817"/>
  </r>
  <r>
    <x v="58"/>
    <s v="suraya"/>
    <s v="prise de poids/the minceur"/>
    <x v="24"/>
    <m/>
    <m/>
    <m/>
    <m/>
    <m/>
    <n v="0"/>
    <n v="3330821"/>
  </r>
  <r>
    <x v="58"/>
    <s v="coach"/>
    <s v="moto"/>
    <x v="25"/>
    <m/>
    <m/>
    <m/>
    <m/>
    <m/>
    <n v="0"/>
    <n v="4090831"/>
  </r>
  <r>
    <x v="58"/>
    <s v="malika"/>
    <s v="glorysmile/gel orange"/>
    <x v="26"/>
    <m/>
    <m/>
    <m/>
    <m/>
    <m/>
    <n v="0"/>
    <n v="4209873"/>
  </r>
  <r>
    <x v="58"/>
    <s v="rabianti"/>
    <s v="glorysmile/gel orange"/>
    <x v="27"/>
    <m/>
    <m/>
    <m/>
    <m/>
    <m/>
    <n v="0"/>
    <n v="4937885"/>
  </r>
  <r>
    <x v="58"/>
    <s v="Nadjma"/>
    <m/>
    <x v="7"/>
    <m/>
    <m/>
    <m/>
    <m/>
    <m/>
    <n v="0"/>
    <n v="4476670"/>
  </r>
  <r>
    <x v="59"/>
    <s v="Boutique de Soin"/>
    <s v="jel orange"/>
    <x v="0"/>
    <n v="51"/>
    <m/>
    <n v="2.69"/>
    <m/>
    <m/>
    <n v="0"/>
    <n v="4316190"/>
  </r>
  <r>
    <x v="59"/>
    <s v="Ben Store"/>
    <s v="prise de poids/savon de riz"/>
    <x v="3"/>
    <n v="26"/>
    <n v="1"/>
    <n v="2.2000000000000002"/>
    <m/>
    <n v="1000"/>
    <n v="3.8461538461538464E-2"/>
    <n v="4554529"/>
  </r>
  <r>
    <x v="59"/>
    <s v="Thamarati"/>
    <s v="glorysmile"/>
    <x v="9"/>
    <n v="35"/>
    <m/>
    <n v="2.29"/>
    <m/>
    <m/>
    <n v="0"/>
    <n v="4348553"/>
  </r>
  <r>
    <x v="59"/>
    <s v="Mufti"/>
    <s v="prise de poids/attote"/>
    <x v="8"/>
    <n v="32"/>
    <m/>
    <n v="2.81"/>
    <m/>
    <m/>
    <n v="0"/>
    <n v="4586158"/>
  </r>
  <r>
    <x v="59"/>
    <s v="Hadidja"/>
    <s v="parfum de bouche"/>
    <x v="12"/>
    <m/>
    <m/>
    <m/>
    <m/>
    <m/>
    <n v="0"/>
    <n v="4561858"/>
  </r>
  <r>
    <x v="59"/>
    <s v="Raina"/>
    <s v="jel orange"/>
    <x v="14"/>
    <m/>
    <m/>
    <m/>
    <m/>
    <m/>
    <n v="0"/>
    <n v="4587211"/>
  </r>
  <r>
    <x v="59"/>
    <s v="lutfia"/>
    <s v="glorysmile/savon au riz"/>
    <x v="15"/>
    <m/>
    <n v="8"/>
    <m/>
    <m/>
    <m/>
    <n v="0"/>
    <n v="4221767"/>
  </r>
  <r>
    <x v="59"/>
    <s v="fayrati"/>
    <s v="huile/glorysmile/savon au riz"/>
    <x v="18"/>
    <n v="17"/>
    <m/>
    <n v="1.51"/>
    <m/>
    <m/>
    <n v="0"/>
    <n v="4463888"/>
  </r>
  <r>
    <x v="59"/>
    <s v="Mariame"/>
    <m/>
    <x v="17"/>
    <m/>
    <m/>
    <m/>
    <m/>
    <m/>
    <n v="0"/>
    <n v="4080782"/>
  </r>
  <r>
    <x v="59"/>
    <s v="riwad"/>
    <s v="poudre de poids/savon au riz"/>
    <x v="19"/>
    <n v="41"/>
    <m/>
    <n v="2.91"/>
    <m/>
    <m/>
    <n v="0"/>
    <n v="4559847"/>
  </r>
  <r>
    <x v="59"/>
    <s v="Asna"/>
    <s v="glorysmile"/>
    <x v="6"/>
    <m/>
    <m/>
    <m/>
    <m/>
    <m/>
    <n v="0"/>
    <n v="4541035"/>
  </r>
  <r>
    <x v="59"/>
    <s v="balmata"/>
    <s v="prise de poids /savon au riz"/>
    <x v="20"/>
    <n v="28"/>
    <m/>
    <n v="2.81"/>
    <m/>
    <m/>
    <n v="0"/>
    <n v="4636761"/>
  </r>
  <r>
    <x v="59"/>
    <s v="lutfat"/>
    <s v="jel orange/prise de poids"/>
    <x v="21"/>
    <n v="27"/>
    <n v="1"/>
    <n v="3.02"/>
    <m/>
    <n v="2500"/>
    <n v="3.7037037037037035E-2"/>
    <n v="4636772"/>
  </r>
  <r>
    <x v="59"/>
    <s v="hamida"/>
    <s v="savon au riz/prise de poids"/>
    <x v="22"/>
    <m/>
    <m/>
    <m/>
    <m/>
    <m/>
    <n v="0"/>
    <n v="3947053"/>
  </r>
  <r>
    <x v="59"/>
    <s v="nayla"/>
    <s v="jel orange /savon orange"/>
    <x v="23"/>
    <n v="30"/>
    <m/>
    <n v="2.66"/>
    <m/>
    <m/>
    <n v="0"/>
    <n v="4587817"/>
  </r>
  <r>
    <x v="59"/>
    <s v="suraya"/>
    <s v="prise de poids/the minceur"/>
    <x v="24"/>
    <n v="15"/>
    <n v="1"/>
    <n v="1.48"/>
    <m/>
    <n v="2500"/>
    <n v="6.6666666666666666E-2"/>
    <n v="3330821"/>
  </r>
  <r>
    <x v="59"/>
    <s v="coach"/>
    <s v="moto"/>
    <x v="25"/>
    <m/>
    <m/>
    <m/>
    <m/>
    <m/>
    <n v="0"/>
    <n v="4090831"/>
  </r>
  <r>
    <x v="59"/>
    <s v="malika"/>
    <s v="glorysmile/gel orange"/>
    <x v="26"/>
    <m/>
    <m/>
    <m/>
    <m/>
    <m/>
    <n v="0"/>
    <n v="4209873"/>
  </r>
  <r>
    <x v="59"/>
    <s v="rabianti"/>
    <s v="glorysmile/gel orange"/>
    <x v="27"/>
    <m/>
    <m/>
    <m/>
    <m/>
    <m/>
    <n v="0"/>
    <n v="4937885"/>
  </r>
  <r>
    <x v="59"/>
    <s v="Nadjma"/>
    <m/>
    <x v="7"/>
    <m/>
    <m/>
    <m/>
    <m/>
    <m/>
    <n v="0"/>
    <n v="4476670"/>
  </r>
  <r>
    <x v="60"/>
    <s v="Boutique de Soin"/>
    <s v="jel orange"/>
    <x v="0"/>
    <n v="45"/>
    <m/>
    <n v="2.5499999999999998"/>
    <m/>
    <n v="3000"/>
    <n v="0"/>
    <n v="4316190"/>
  </r>
  <r>
    <x v="60"/>
    <s v="Ben Store"/>
    <s v="prise de poids/savon de riz"/>
    <x v="3"/>
    <n v="23"/>
    <n v="3"/>
    <n v="2.23"/>
    <m/>
    <n v="5000"/>
    <n v="0.13043478260869565"/>
    <n v="4554529"/>
  </r>
  <r>
    <x v="60"/>
    <s v="Thamarati"/>
    <s v="glorysmile"/>
    <x v="9"/>
    <n v="22"/>
    <n v="2"/>
    <n v="2.0699999999999998"/>
    <m/>
    <n v="4000"/>
    <n v="9.0909090909090912E-2"/>
    <n v="4348553"/>
  </r>
  <r>
    <x v="60"/>
    <s v="Mufti"/>
    <s v="prise de poids/attote"/>
    <x v="8"/>
    <n v="31"/>
    <m/>
    <n v="2.33"/>
    <m/>
    <m/>
    <n v="0"/>
    <n v="4586158"/>
  </r>
  <r>
    <x v="60"/>
    <s v="Hadidja"/>
    <s v="parfum de bouche"/>
    <x v="12"/>
    <m/>
    <m/>
    <m/>
    <m/>
    <m/>
    <n v="0"/>
    <n v="4561858"/>
  </r>
  <r>
    <x v="60"/>
    <s v="Raina"/>
    <s v="jel orange"/>
    <x v="14"/>
    <m/>
    <m/>
    <m/>
    <m/>
    <m/>
    <n v="0"/>
    <n v="4587211"/>
  </r>
  <r>
    <x v="60"/>
    <s v="lutfia"/>
    <s v="glorysmile/savon au riz"/>
    <x v="15"/>
    <m/>
    <m/>
    <m/>
    <m/>
    <m/>
    <n v="0"/>
    <n v="4221767"/>
  </r>
  <r>
    <x v="60"/>
    <s v="fayrati"/>
    <s v="huile/glorysmile/savon au riz"/>
    <x v="18"/>
    <n v="32"/>
    <n v="1"/>
    <n v="2.2400000000000002"/>
    <m/>
    <n v="1500"/>
    <n v="3.125E-2"/>
    <n v="4463888"/>
  </r>
  <r>
    <x v="60"/>
    <s v="Mariame"/>
    <m/>
    <x v="17"/>
    <m/>
    <m/>
    <m/>
    <m/>
    <m/>
    <n v="0"/>
    <n v="4080782"/>
  </r>
  <r>
    <x v="60"/>
    <s v="riwad"/>
    <s v="poudre de poids/savon au riz"/>
    <x v="19"/>
    <n v="41"/>
    <m/>
    <n v="2.31"/>
    <m/>
    <m/>
    <n v="0"/>
    <n v="4559847"/>
  </r>
  <r>
    <x v="60"/>
    <s v="Asna"/>
    <s v="glorysmile"/>
    <x v="6"/>
    <m/>
    <m/>
    <m/>
    <m/>
    <m/>
    <n v="0"/>
    <n v="4541035"/>
  </r>
  <r>
    <x v="60"/>
    <s v="balmata"/>
    <s v="prise de poids /savon au riz"/>
    <x v="20"/>
    <n v="26"/>
    <m/>
    <n v="2.13"/>
    <m/>
    <m/>
    <n v="0"/>
    <n v="4636761"/>
  </r>
  <r>
    <x v="60"/>
    <s v="lutfat"/>
    <s v="jel orange/prise de poids"/>
    <x v="21"/>
    <n v="21"/>
    <m/>
    <n v="2.4700000000000002"/>
    <m/>
    <n v="5000"/>
    <n v="0"/>
    <n v="4636772"/>
  </r>
  <r>
    <x v="60"/>
    <s v="hamida"/>
    <s v="savon au riz/prise de poids"/>
    <x v="22"/>
    <m/>
    <m/>
    <m/>
    <m/>
    <m/>
    <n v="0"/>
    <n v="3947053"/>
  </r>
  <r>
    <x v="60"/>
    <s v="nayla"/>
    <s v="jel orange /savon orange"/>
    <x v="23"/>
    <n v="28"/>
    <m/>
    <n v="2.33"/>
    <m/>
    <m/>
    <n v="0"/>
    <n v="4587817"/>
  </r>
  <r>
    <x v="60"/>
    <s v="suraya"/>
    <s v="prise de poids/the minceur"/>
    <x v="24"/>
    <n v="27"/>
    <n v="2"/>
    <n v="2.06"/>
    <m/>
    <n v="3000"/>
    <n v="7.407407407407407E-2"/>
    <n v="3330821"/>
  </r>
  <r>
    <x v="60"/>
    <s v="coach"/>
    <s v="moto"/>
    <x v="25"/>
    <m/>
    <m/>
    <m/>
    <m/>
    <m/>
    <n v="0"/>
    <n v="4090831"/>
  </r>
  <r>
    <x v="60"/>
    <s v="malika"/>
    <s v="glorysmile/gel orange"/>
    <x v="26"/>
    <m/>
    <m/>
    <m/>
    <m/>
    <m/>
    <n v="0"/>
    <n v="4209873"/>
  </r>
  <r>
    <x v="60"/>
    <s v="rabianti"/>
    <s v="glorysmile/gel orange"/>
    <x v="27"/>
    <m/>
    <m/>
    <m/>
    <m/>
    <m/>
    <n v="0"/>
    <n v="4937885"/>
  </r>
  <r>
    <x v="60"/>
    <s v="Nadjma"/>
    <m/>
    <x v="7"/>
    <m/>
    <m/>
    <m/>
    <m/>
    <m/>
    <n v="0"/>
    <n v="4476670"/>
  </r>
  <r>
    <x v="61"/>
    <s v="Boutique de Soin"/>
    <s v="jel orange"/>
    <x v="0"/>
    <n v="4"/>
    <n v="1"/>
    <n v="0.46"/>
    <m/>
    <m/>
    <n v="0.25"/>
    <n v="4316190"/>
  </r>
  <r>
    <x v="61"/>
    <s v="Ben Store"/>
    <s v="prise de poids/savon de riz"/>
    <x v="3"/>
    <n v="29"/>
    <n v="2"/>
    <n v="2.96"/>
    <m/>
    <n v="3500"/>
    <n v="6.8965517241379309E-2"/>
    <n v="4554529"/>
  </r>
  <r>
    <x v="61"/>
    <s v="Thamarati"/>
    <s v="glorysmile"/>
    <x v="9"/>
    <n v="35"/>
    <n v="3"/>
    <n v="2.5"/>
    <m/>
    <n v="5500"/>
    <n v="8.5714285714285715E-2"/>
    <n v="4348553"/>
  </r>
  <r>
    <x v="61"/>
    <s v="Mufti"/>
    <s v="prise de poids/attote"/>
    <x v="8"/>
    <n v="1"/>
    <m/>
    <n v="0.38"/>
    <m/>
    <m/>
    <n v="0"/>
    <n v="4586158"/>
  </r>
  <r>
    <x v="61"/>
    <s v="Hadidja"/>
    <s v="parfum de bouche"/>
    <x v="12"/>
    <m/>
    <m/>
    <m/>
    <m/>
    <m/>
    <n v="0"/>
    <n v="4561858"/>
  </r>
  <r>
    <x v="61"/>
    <s v="Raina"/>
    <s v="jel orange"/>
    <x v="14"/>
    <m/>
    <m/>
    <m/>
    <m/>
    <m/>
    <n v="0"/>
    <n v="4587211"/>
  </r>
  <r>
    <x v="61"/>
    <s v="lutfia"/>
    <s v="glorysmile/savon au riz"/>
    <x v="15"/>
    <m/>
    <m/>
    <m/>
    <m/>
    <m/>
    <n v="0"/>
    <n v="4221767"/>
  </r>
  <r>
    <x v="61"/>
    <s v="fayrati"/>
    <s v="huile/glorysmile/savon au riz"/>
    <x v="18"/>
    <n v="7"/>
    <m/>
    <n v="0.43"/>
    <m/>
    <m/>
    <n v="0"/>
    <n v="4463888"/>
  </r>
  <r>
    <x v="61"/>
    <s v="Mariame"/>
    <m/>
    <x v="17"/>
    <m/>
    <m/>
    <m/>
    <m/>
    <m/>
    <n v="0"/>
    <n v="4080782"/>
  </r>
  <r>
    <x v="61"/>
    <s v="riwad"/>
    <s v="poudre de poids/savon au riz"/>
    <x v="19"/>
    <n v="7"/>
    <m/>
    <n v="0.41"/>
    <m/>
    <m/>
    <n v="0"/>
    <n v="4559847"/>
  </r>
  <r>
    <x v="61"/>
    <s v="Asna"/>
    <s v="glorysmile"/>
    <x v="6"/>
    <m/>
    <m/>
    <m/>
    <m/>
    <m/>
    <n v="0"/>
    <n v="4541035"/>
  </r>
  <r>
    <x v="61"/>
    <s v="balmata"/>
    <s v="prise de poids /savon au riz"/>
    <x v="20"/>
    <n v="11"/>
    <m/>
    <n v="2.37"/>
    <m/>
    <m/>
    <n v="0"/>
    <n v="4636761"/>
  </r>
  <r>
    <x v="61"/>
    <s v="lutfat"/>
    <s v="jel orange/prise de poids"/>
    <x v="21"/>
    <n v="25"/>
    <n v="6"/>
    <n v="2.33"/>
    <m/>
    <n v="11000"/>
    <n v="0.24"/>
    <n v="4636772"/>
  </r>
  <r>
    <x v="61"/>
    <s v="hamida"/>
    <s v="savon au riz/prise de poids"/>
    <x v="22"/>
    <m/>
    <m/>
    <m/>
    <m/>
    <m/>
    <n v="0"/>
    <n v="3947053"/>
  </r>
  <r>
    <x v="61"/>
    <s v="nayla"/>
    <s v="jel orange /savon orange"/>
    <x v="23"/>
    <n v="3"/>
    <m/>
    <n v="0.37"/>
    <m/>
    <m/>
    <n v="0"/>
    <n v="4587817"/>
  </r>
  <r>
    <x v="61"/>
    <s v="suraya"/>
    <s v="prise de poids/the minceur"/>
    <x v="24"/>
    <n v="39"/>
    <n v="1"/>
    <n v="1.25"/>
    <m/>
    <n v="1500"/>
    <n v="2.564102564102564E-2"/>
    <n v="3330821"/>
  </r>
  <r>
    <x v="61"/>
    <s v="coach"/>
    <s v="moto"/>
    <x v="25"/>
    <m/>
    <m/>
    <m/>
    <m/>
    <m/>
    <n v="0"/>
    <n v="4090831"/>
  </r>
  <r>
    <x v="61"/>
    <s v="malika"/>
    <s v="glorysmile/gel orange"/>
    <x v="26"/>
    <m/>
    <m/>
    <m/>
    <m/>
    <m/>
    <n v="0"/>
    <n v="4209873"/>
  </r>
  <r>
    <x v="61"/>
    <s v="rabianti"/>
    <s v="glorysmile/gel orange"/>
    <x v="27"/>
    <m/>
    <m/>
    <m/>
    <m/>
    <m/>
    <n v="0"/>
    <n v="4937885"/>
  </r>
  <r>
    <x v="61"/>
    <s v="Nadjma"/>
    <m/>
    <x v="7"/>
    <m/>
    <m/>
    <m/>
    <m/>
    <m/>
    <n v="0"/>
    <n v="4476670"/>
  </r>
  <r>
    <x v="62"/>
    <s v="Boutique de Soin"/>
    <s v="jel orange"/>
    <x v="0"/>
    <n v="23"/>
    <n v="2"/>
    <n v="2.5299999999999998"/>
    <m/>
    <n v="2500"/>
    <n v="8.6956521739130432E-2"/>
    <n v="4316190"/>
  </r>
  <r>
    <x v="62"/>
    <s v="Ben Store"/>
    <s v="prise de poids/savon de riz"/>
    <x v="3"/>
    <n v="20"/>
    <n v="1"/>
    <n v="1.79"/>
    <m/>
    <n v="1500"/>
    <n v="0.05"/>
    <n v="4554529"/>
  </r>
  <r>
    <x v="62"/>
    <s v="Thamarati"/>
    <s v="glorysmile"/>
    <x v="9"/>
    <n v="18"/>
    <n v="1"/>
    <n v="1.97"/>
    <m/>
    <n v="1500"/>
    <n v="5.5555555555555552E-2"/>
    <n v="4348553"/>
  </r>
  <r>
    <x v="62"/>
    <s v="Mufti"/>
    <s v="prise de poids/attote"/>
    <x v="8"/>
    <n v="34"/>
    <m/>
    <n v="2.73"/>
    <m/>
    <m/>
    <n v="0"/>
    <n v="4586158"/>
  </r>
  <r>
    <x v="62"/>
    <s v="Hadidja"/>
    <s v="parfum de bouche"/>
    <x v="12"/>
    <m/>
    <m/>
    <m/>
    <m/>
    <m/>
    <n v="0"/>
    <n v="4561858"/>
  </r>
  <r>
    <x v="62"/>
    <s v="Raina"/>
    <s v="jel orange"/>
    <x v="14"/>
    <m/>
    <m/>
    <m/>
    <m/>
    <m/>
    <n v="0"/>
    <n v="4587211"/>
  </r>
  <r>
    <x v="62"/>
    <s v="lutfia"/>
    <s v="glorysmile/savon au riz"/>
    <x v="15"/>
    <m/>
    <m/>
    <m/>
    <m/>
    <m/>
    <n v="0"/>
    <n v="4221767"/>
  </r>
  <r>
    <x v="62"/>
    <s v="fayrati"/>
    <s v="huile/glorysmile/savon au riz"/>
    <x v="18"/>
    <n v="11"/>
    <m/>
    <n v="2.2999999999999998"/>
    <m/>
    <m/>
    <n v="0"/>
    <n v="4463888"/>
  </r>
  <r>
    <x v="62"/>
    <s v="Mariame"/>
    <m/>
    <x v="17"/>
    <m/>
    <m/>
    <m/>
    <m/>
    <m/>
    <n v="0"/>
    <n v="4080782"/>
  </r>
  <r>
    <x v="62"/>
    <s v="riwad"/>
    <s v="poudre de poids/savon au riz"/>
    <x v="19"/>
    <n v="26"/>
    <m/>
    <n v="2.27"/>
    <m/>
    <m/>
    <n v="0"/>
    <n v="4559847"/>
  </r>
  <r>
    <x v="62"/>
    <s v="Asna"/>
    <s v="glorysmile"/>
    <x v="6"/>
    <m/>
    <m/>
    <m/>
    <m/>
    <m/>
    <n v="0"/>
    <n v="4541035"/>
  </r>
  <r>
    <x v="62"/>
    <s v="balmata"/>
    <s v="prise de poids /savon au riz"/>
    <x v="20"/>
    <n v="9"/>
    <m/>
    <n v="1.02"/>
    <m/>
    <m/>
    <n v="0"/>
    <n v="4636761"/>
  </r>
  <r>
    <x v="62"/>
    <s v="lutfat"/>
    <s v="jel orange/prise de poids"/>
    <x v="21"/>
    <n v="18"/>
    <n v="8"/>
    <n v="1.95"/>
    <m/>
    <n v="11000"/>
    <n v="0.44444444444444442"/>
    <n v="4636772"/>
  </r>
  <r>
    <x v="62"/>
    <s v="hamida"/>
    <s v="savon au riz/prise de poids"/>
    <x v="22"/>
    <m/>
    <m/>
    <m/>
    <m/>
    <m/>
    <n v="0"/>
    <n v="3947053"/>
  </r>
  <r>
    <x v="62"/>
    <s v="nayla"/>
    <s v="jel orange /savon orange"/>
    <x v="23"/>
    <n v="20"/>
    <m/>
    <n v="2.64"/>
    <m/>
    <m/>
    <n v="0"/>
    <n v="4587817"/>
  </r>
  <r>
    <x v="62"/>
    <s v="suraya"/>
    <s v="prise de poids/the minceur"/>
    <x v="24"/>
    <n v="15"/>
    <n v="2"/>
    <n v="1.42"/>
    <m/>
    <n v="2500"/>
    <n v="0.13333333333333333"/>
    <n v="3330821"/>
  </r>
  <r>
    <x v="62"/>
    <s v="coach"/>
    <s v="moto"/>
    <x v="25"/>
    <m/>
    <m/>
    <m/>
    <m/>
    <m/>
    <n v="0"/>
    <n v="4090831"/>
  </r>
  <r>
    <x v="62"/>
    <s v="malika"/>
    <s v="glorysmile/gel orange"/>
    <x v="26"/>
    <m/>
    <m/>
    <m/>
    <m/>
    <m/>
    <n v="0"/>
    <n v="4209873"/>
  </r>
  <r>
    <x v="62"/>
    <s v="rabianti"/>
    <s v="glorysmile/gel orange"/>
    <x v="27"/>
    <m/>
    <m/>
    <m/>
    <m/>
    <m/>
    <n v="0"/>
    <n v="4937885"/>
  </r>
  <r>
    <x v="62"/>
    <s v="Nadjma"/>
    <m/>
    <x v="7"/>
    <m/>
    <m/>
    <m/>
    <m/>
    <m/>
    <n v="0"/>
    <n v="4476670"/>
  </r>
  <r>
    <x v="63"/>
    <s v="Boutique de Soin"/>
    <s v="jel orange"/>
    <x v="0"/>
    <n v="33"/>
    <n v="7"/>
    <n v="2.84"/>
    <m/>
    <n v="8000"/>
    <n v="0.21212121212121213"/>
    <n v="4316190"/>
  </r>
  <r>
    <x v="63"/>
    <s v="Ben Store"/>
    <s v="prise de poids/savon de riz"/>
    <x v="3"/>
    <n v="26"/>
    <m/>
    <n v="2.5099999999999998"/>
    <m/>
    <m/>
    <n v="0"/>
    <n v="4554529"/>
  </r>
  <r>
    <x v="63"/>
    <s v="Thamarati"/>
    <s v="glorysmile"/>
    <x v="9"/>
    <m/>
    <m/>
    <m/>
    <m/>
    <m/>
    <n v="0"/>
    <n v="4348553"/>
  </r>
  <r>
    <x v="63"/>
    <s v="Mufti"/>
    <s v="prise de poids/attote"/>
    <x v="8"/>
    <n v="39"/>
    <n v="3"/>
    <n v="3.27"/>
    <m/>
    <n v="5000"/>
    <n v="7.6923076923076927E-2"/>
    <n v="4586158"/>
  </r>
  <r>
    <x v="63"/>
    <s v="Hadidja"/>
    <s v="parfum de bouche"/>
    <x v="12"/>
    <m/>
    <m/>
    <m/>
    <m/>
    <m/>
    <n v="0"/>
    <n v="4561858"/>
  </r>
  <r>
    <x v="63"/>
    <s v="Raina"/>
    <s v="jel orange"/>
    <x v="14"/>
    <m/>
    <m/>
    <m/>
    <m/>
    <m/>
    <n v="0"/>
    <n v="4587211"/>
  </r>
  <r>
    <x v="63"/>
    <s v="lutfia"/>
    <s v="glorysmile/savon au riz"/>
    <x v="15"/>
    <m/>
    <m/>
    <m/>
    <m/>
    <m/>
    <n v="0"/>
    <n v="4221767"/>
  </r>
  <r>
    <x v="63"/>
    <s v="fayrati"/>
    <s v="huile/glorysmile/savon au riz"/>
    <x v="18"/>
    <n v="26"/>
    <m/>
    <n v="2.37"/>
    <m/>
    <m/>
    <n v="0"/>
    <n v="4463888"/>
  </r>
  <r>
    <x v="63"/>
    <s v="Mariame"/>
    <m/>
    <x v="17"/>
    <m/>
    <m/>
    <m/>
    <m/>
    <m/>
    <n v="0"/>
    <n v="4080782"/>
  </r>
  <r>
    <x v="63"/>
    <s v="riwad"/>
    <s v="poudre de poids/savon au riz"/>
    <x v="19"/>
    <n v="26"/>
    <n v="2"/>
    <n v="2.87"/>
    <m/>
    <n v="3500"/>
    <n v="7.6923076923076927E-2"/>
    <n v="4559847"/>
  </r>
  <r>
    <x v="63"/>
    <s v="Asna"/>
    <s v="glorysmile"/>
    <x v="6"/>
    <m/>
    <m/>
    <m/>
    <m/>
    <m/>
    <n v="0"/>
    <n v="4541035"/>
  </r>
  <r>
    <x v="63"/>
    <s v="balmata"/>
    <s v="prise de poids /savon au riz"/>
    <x v="20"/>
    <m/>
    <m/>
    <m/>
    <m/>
    <m/>
    <n v="0"/>
    <n v="4636761"/>
  </r>
  <r>
    <x v="63"/>
    <s v="lutfat"/>
    <s v="jel orange/prise de poids"/>
    <x v="21"/>
    <n v="12"/>
    <n v="1"/>
    <n v="1.87"/>
    <m/>
    <n v="1000"/>
    <n v="8.3333333333333329E-2"/>
    <n v="4636772"/>
  </r>
  <r>
    <x v="63"/>
    <s v="hamida"/>
    <s v="savon au riz/prise de poids"/>
    <x v="22"/>
    <m/>
    <m/>
    <m/>
    <m/>
    <m/>
    <n v="0"/>
    <n v="3947053"/>
  </r>
  <r>
    <x v="63"/>
    <s v="nayla"/>
    <s v="jel orange /savon orange"/>
    <x v="23"/>
    <n v="42"/>
    <m/>
    <n v="3.27"/>
    <m/>
    <m/>
    <n v="0"/>
    <n v="4587817"/>
  </r>
  <r>
    <x v="63"/>
    <s v="suraya"/>
    <s v="prise de poids/the minceur"/>
    <x v="24"/>
    <n v="29"/>
    <m/>
    <n v="2.0099999999999998"/>
    <m/>
    <m/>
    <n v="0"/>
    <n v="3330821"/>
  </r>
  <r>
    <x v="63"/>
    <s v="coach"/>
    <s v="moto"/>
    <x v="25"/>
    <m/>
    <m/>
    <m/>
    <m/>
    <m/>
    <n v="0"/>
    <n v="4090831"/>
  </r>
  <r>
    <x v="63"/>
    <s v="malika"/>
    <s v="glorysmile/gel orange"/>
    <x v="26"/>
    <m/>
    <m/>
    <m/>
    <m/>
    <m/>
    <n v="0"/>
    <n v="4209873"/>
  </r>
  <r>
    <x v="63"/>
    <s v="rabianti"/>
    <s v="glorysmile/gel orange"/>
    <x v="27"/>
    <m/>
    <m/>
    <m/>
    <m/>
    <m/>
    <n v="0"/>
    <n v="4937885"/>
  </r>
  <r>
    <x v="63"/>
    <s v="Nadjma"/>
    <m/>
    <x v="7"/>
    <m/>
    <m/>
    <m/>
    <m/>
    <m/>
    <n v="0"/>
    <n v="4476670"/>
  </r>
  <r>
    <x v="64"/>
    <s v="Boutique de Soin"/>
    <s v="jel orange"/>
    <x v="0"/>
    <m/>
    <m/>
    <m/>
    <m/>
    <m/>
    <n v="0"/>
    <n v="4316190"/>
  </r>
  <r>
    <x v="64"/>
    <s v="Ben Store"/>
    <s v="prise de poids/savon de riz"/>
    <x v="3"/>
    <m/>
    <m/>
    <m/>
    <m/>
    <m/>
    <n v="0"/>
    <n v="4554529"/>
  </r>
  <r>
    <x v="64"/>
    <s v="Thamarati"/>
    <s v="glorysmile"/>
    <x v="9"/>
    <m/>
    <n v="1"/>
    <m/>
    <n v="12500"/>
    <n v="2500"/>
    <n v="0"/>
    <n v="4348553"/>
  </r>
  <r>
    <x v="64"/>
    <s v="Mufti"/>
    <s v="prise de poids/attote"/>
    <x v="8"/>
    <m/>
    <n v="1"/>
    <m/>
    <n v="8000"/>
    <n v="2500"/>
    <n v="0"/>
    <n v="4586158"/>
  </r>
  <r>
    <x v="64"/>
    <s v="Hadidja"/>
    <s v="parfum de bouche"/>
    <x v="12"/>
    <m/>
    <n v="1"/>
    <m/>
    <n v="4000"/>
    <n v="1000"/>
    <n v="0"/>
    <n v="4561858"/>
  </r>
  <r>
    <x v="64"/>
    <s v="Raina"/>
    <s v="jel orange"/>
    <x v="14"/>
    <m/>
    <m/>
    <m/>
    <m/>
    <m/>
    <n v="0"/>
    <n v="4587211"/>
  </r>
  <r>
    <x v="64"/>
    <s v="lutfia"/>
    <s v="glorysmile/savon au riz"/>
    <x v="15"/>
    <m/>
    <m/>
    <m/>
    <m/>
    <m/>
    <n v="0"/>
    <n v="4221767"/>
  </r>
  <r>
    <x v="64"/>
    <s v="fayrati"/>
    <s v="huile/glorysmile/savon au riz"/>
    <x v="18"/>
    <m/>
    <m/>
    <m/>
    <m/>
    <m/>
    <n v="0"/>
    <n v="4463888"/>
  </r>
  <r>
    <x v="64"/>
    <s v="Mariame"/>
    <m/>
    <x v="17"/>
    <m/>
    <m/>
    <m/>
    <m/>
    <m/>
    <n v="0"/>
    <n v="4080782"/>
  </r>
  <r>
    <x v="64"/>
    <s v="riwad"/>
    <s v="poudre de poids/savon au riz"/>
    <x v="19"/>
    <m/>
    <m/>
    <m/>
    <m/>
    <m/>
    <n v="0"/>
    <n v="4559847"/>
  </r>
  <r>
    <x v="64"/>
    <s v="Asna"/>
    <s v="glorysmile"/>
    <x v="6"/>
    <m/>
    <m/>
    <m/>
    <m/>
    <m/>
    <n v="0"/>
    <n v="4541035"/>
  </r>
  <r>
    <x v="64"/>
    <s v="balmata"/>
    <s v="prise de poids /savon au riz"/>
    <x v="20"/>
    <m/>
    <m/>
    <m/>
    <m/>
    <m/>
    <n v="0"/>
    <n v="4636761"/>
  </r>
  <r>
    <x v="64"/>
    <s v="lutfat"/>
    <s v="jel orange/prise de poids"/>
    <x v="21"/>
    <m/>
    <n v="1"/>
    <m/>
    <n v="4000"/>
    <n v="1000"/>
    <n v="0"/>
    <n v="4636772"/>
  </r>
  <r>
    <x v="64"/>
    <s v="hamida"/>
    <s v="savon au riz/prise de poids"/>
    <x v="22"/>
    <m/>
    <m/>
    <m/>
    <m/>
    <m/>
    <n v="0"/>
    <n v="3947053"/>
  </r>
  <r>
    <x v="64"/>
    <s v="nayla"/>
    <s v="jel orange /savon orange"/>
    <x v="23"/>
    <m/>
    <n v="2"/>
    <m/>
    <n v="11500"/>
    <n v="3500"/>
    <n v="0"/>
    <n v="4587817"/>
  </r>
  <r>
    <x v="64"/>
    <s v="suraya"/>
    <s v="prise de poids/the minceur"/>
    <x v="24"/>
    <m/>
    <m/>
    <m/>
    <m/>
    <m/>
    <n v="0"/>
    <n v="3330821"/>
  </r>
  <r>
    <x v="64"/>
    <s v="coach"/>
    <s v="moto"/>
    <x v="25"/>
    <m/>
    <n v="3"/>
    <m/>
    <n v="15000"/>
    <m/>
    <n v="0"/>
    <n v="4090831"/>
  </r>
  <r>
    <x v="64"/>
    <s v="malika"/>
    <s v="glorysmile/gel orange"/>
    <x v="26"/>
    <m/>
    <m/>
    <m/>
    <m/>
    <m/>
    <n v="0"/>
    <n v="4209873"/>
  </r>
  <r>
    <x v="64"/>
    <s v="rabianti"/>
    <s v="glorysmile/gel orange"/>
    <x v="27"/>
    <m/>
    <m/>
    <m/>
    <m/>
    <m/>
    <n v="0"/>
    <n v="4937885"/>
  </r>
  <r>
    <x v="65"/>
    <s v="Boutique de Soin"/>
    <s v="jel orange"/>
    <x v="0"/>
    <m/>
    <m/>
    <m/>
    <m/>
    <m/>
    <n v="0"/>
    <n v="4316190"/>
  </r>
  <r>
    <x v="65"/>
    <s v="Ben Store"/>
    <s v="prise de poids/savon de riz"/>
    <x v="3"/>
    <m/>
    <m/>
    <m/>
    <m/>
    <m/>
    <n v="0"/>
    <n v="4554529"/>
  </r>
  <r>
    <x v="65"/>
    <s v="Thamarati"/>
    <s v="glorysmile"/>
    <x v="9"/>
    <m/>
    <m/>
    <m/>
    <m/>
    <m/>
    <n v="0"/>
    <n v="4348553"/>
  </r>
  <r>
    <x v="65"/>
    <s v="Mufti"/>
    <s v="prise de poids/attote"/>
    <x v="8"/>
    <m/>
    <m/>
    <m/>
    <m/>
    <m/>
    <n v="0"/>
    <n v="4586158"/>
  </r>
  <r>
    <x v="65"/>
    <s v="Hadidja"/>
    <s v="parfum de bouche"/>
    <x v="12"/>
    <m/>
    <m/>
    <m/>
    <m/>
    <m/>
    <n v="0"/>
    <n v="4561858"/>
  </r>
  <r>
    <x v="65"/>
    <s v="Raina"/>
    <s v="jel orange"/>
    <x v="14"/>
    <m/>
    <m/>
    <m/>
    <m/>
    <m/>
    <n v="0"/>
    <n v="4587211"/>
  </r>
  <r>
    <x v="65"/>
    <s v="lutfia"/>
    <s v="glorysmile/savon au riz"/>
    <x v="15"/>
    <m/>
    <m/>
    <m/>
    <m/>
    <m/>
    <n v="0"/>
    <n v="4221767"/>
  </r>
  <r>
    <x v="65"/>
    <s v="fayrati"/>
    <s v="huile/glorysmile/savon au riz"/>
    <x v="18"/>
    <m/>
    <m/>
    <m/>
    <m/>
    <m/>
    <n v="0"/>
    <n v="4463888"/>
  </r>
  <r>
    <x v="65"/>
    <s v="Mariame"/>
    <m/>
    <x v="17"/>
    <m/>
    <m/>
    <m/>
    <m/>
    <m/>
    <n v="0"/>
    <n v="4080782"/>
  </r>
  <r>
    <x v="65"/>
    <s v="riwad"/>
    <s v="poudre de poids/savon au riz"/>
    <x v="19"/>
    <m/>
    <m/>
    <m/>
    <m/>
    <m/>
    <n v="0"/>
    <n v="4559847"/>
  </r>
  <r>
    <x v="65"/>
    <s v="Asna"/>
    <s v="glorysmile"/>
    <x v="6"/>
    <m/>
    <m/>
    <m/>
    <m/>
    <m/>
    <n v="0"/>
    <n v="4541035"/>
  </r>
  <r>
    <x v="65"/>
    <s v="balmata"/>
    <s v="prise de poids /savon au riz"/>
    <x v="20"/>
    <m/>
    <m/>
    <m/>
    <m/>
    <m/>
    <n v="0"/>
    <n v="4636761"/>
  </r>
  <r>
    <x v="65"/>
    <s v="lutfat"/>
    <s v="jel orange/prise de poids"/>
    <x v="21"/>
    <m/>
    <m/>
    <m/>
    <m/>
    <m/>
    <n v="0"/>
    <n v="4636772"/>
  </r>
  <r>
    <x v="65"/>
    <s v="hamida"/>
    <s v="savon au riz/prise de poids"/>
    <x v="22"/>
    <m/>
    <m/>
    <m/>
    <m/>
    <m/>
    <n v="0"/>
    <n v="3947053"/>
  </r>
  <r>
    <x v="65"/>
    <s v="nayla"/>
    <s v="jel orange /savon orange"/>
    <x v="23"/>
    <m/>
    <m/>
    <m/>
    <m/>
    <m/>
    <n v="0"/>
    <n v="4587817"/>
  </r>
  <r>
    <x v="65"/>
    <s v="suraya"/>
    <s v="prise de poids/the minceur"/>
    <x v="24"/>
    <m/>
    <m/>
    <m/>
    <m/>
    <m/>
    <n v="0"/>
    <n v="3330821"/>
  </r>
  <r>
    <x v="65"/>
    <s v="coach"/>
    <s v="moto"/>
    <x v="25"/>
    <m/>
    <m/>
    <m/>
    <m/>
    <m/>
    <n v="0"/>
    <n v="4090831"/>
  </r>
  <r>
    <x v="65"/>
    <s v="malika"/>
    <s v="glorysmile/gel orange"/>
    <x v="26"/>
    <m/>
    <m/>
    <m/>
    <m/>
    <m/>
    <n v="0"/>
    <n v="4209873"/>
  </r>
  <r>
    <x v="65"/>
    <s v="rabianti"/>
    <s v="glorysmile/gel orange"/>
    <x v="27"/>
    <m/>
    <m/>
    <m/>
    <m/>
    <m/>
    <n v="0"/>
    <n v="4937885"/>
  </r>
  <r>
    <x v="66"/>
    <s v="Boutique de Soin"/>
    <s v="jel orange"/>
    <x v="0"/>
    <n v="27"/>
    <m/>
    <n v="2.0699999999999998"/>
    <m/>
    <m/>
    <n v="0"/>
    <n v="4316190"/>
  </r>
  <r>
    <x v="66"/>
    <s v="Ben Store"/>
    <s v="prise de poids/savon de riz"/>
    <x v="3"/>
    <n v="24"/>
    <n v="3"/>
    <n v="2.11"/>
    <n v="24000"/>
    <n v="4500"/>
    <n v="0.125"/>
    <n v="4554529"/>
  </r>
  <r>
    <x v="66"/>
    <s v="Thamarati"/>
    <s v="glorysmile"/>
    <x v="9"/>
    <n v="18"/>
    <m/>
    <n v="2.13"/>
    <m/>
    <m/>
    <n v="0"/>
    <n v="4348553"/>
  </r>
  <r>
    <x v="66"/>
    <s v="Mufti"/>
    <s v="prise de poids/attote"/>
    <x v="8"/>
    <n v="17"/>
    <n v="1"/>
    <n v="2.2999999999999998"/>
    <n v="5000"/>
    <n v="1000"/>
    <n v="5.8823529411764705E-2"/>
    <n v="4586158"/>
  </r>
  <r>
    <x v="66"/>
    <s v="Hadidja"/>
    <s v="parfum de bouche"/>
    <x v="12"/>
    <m/>
    <m/>
    <m/>
    <m/>
    <m/>
    <n v="0"/>
    <n v="4561858"/>
  </r>
  <r>
    <x v="66"/>
    <s v="lutfia"/>
    <s v="glorysmile/savon au riz"/>
    <x v="15"/>
    <m/>
    <n v="1"/>
    <m/>
    <n v="8000"/>
    <n v="1500"/>
    <n v="0"/>
    <n v="4221767"/>
  </r>
  <r>
    <x v="66"/>
    <s v="fayrati"/>
    <s v="huile/glorysmile/savon au riz"/>
    <x v="18"/>
    <n v="7"/>
    <m/>
    <n v="2.2200000000000002"/>
    <m/>
    <m/>
    <n v="0"/>
    <n v="4463888"/>
  </r>
  <r>
    <x v="66"/>
    <s v="riwad"/>
    <s v="poudre de poids/savon au riz"/>
    <x v="19"/>
    <n v="32"/>
    <m/>
    <n v="2.33"/>
    <m/>
    <m/>
    <n v="0"/>
    <n v="4559847"/>
  </r>
  <r>
    <x v="66"/>
    <s v="balmata"/>
    <s v="prise de poids /savon au riz"/>
    <x v="20"/>
    <n v="14"/>
    <m/>
    <n v="1.56"/>
    <m/>
    <m/>
    <n v="0"/>
    <n v="4636761"/>
  </r>
  <r>
    <x v="66"/>
    <s v="lutfat"/>
    <s v="jel orange/prise de poids"/>
    <x v="21"/>
    <n v="53"/>
    <n v="3"/>
    <n v="4.5999999999999996"/>
    <n v="16000"/>
    <n v="3500"/>
    <n v="5.6603773584905662E-2"/>
    <n v="4636772"/>
  </r>
  <r>
    <x v="66"/>
    <s v="nayla"/>
    <s v="jel orange /savon orange"/>
    <x v="23"/>
    <n v="16"/>
    <n v="1"/>
    <n v="2.1800000000000002"/>
    <n v="8500"/>
    <n v="1500"/>
    <n v="6.25E-2"/>
    <n v="4587817"/>
  </r>
  <r>
    <x v="66"/>
    <s v="suraya"/>
    <s v="prise de poids/the minceur"/>
    <x v="24"/>
    <n v="13"/>
    <m/>
    <n v="2.13"/>
    <m/>
    <m/>
    <n v="0"/>
    <n v="3330821"/>
  </r>
  <r>
    <x v="66"/>
    <s v="MARİAME"/>
    <m/>
    <x v="28"/>
    <n v="25"/>
    <m/>
    <n v="3.94"/>
    <m/>
    <m/>
    <n v="0"/>
    <m/>
  </r>
  <r>
    <x v="67"/>
    <s v="Boutique de Soin"/>
    <s v="jel orange"/>
    <x v="0"/>
    <n v="39"/>
    <n v="1"/>
    <n v="2.62"/>
    <n v="8000"/>
    <n v="1500"/>
    <n v="2.564102564102564E-2"/>
    <n v="4316190"/>
  </r>
  <r>
    <x v="67"/>
    <s v="Ben Store"/>
    <s v="prise de poids/savon de riz"/>
    <x v="3"/>
    <n v="16"/>
    <n v="2"/>
    <n v="2.2000000000000002"/>
    <n v="18000"/>
    <n v="3000"/>
    <n v="0.125"/>
    <n v="4554529"/>
  </r>
  <r>
    <x v="67"/>
    <s v="Thamarati"/>
    <s v="glorysmile"/>
    <x v="9"/>
    <n v="38"/>
    <n v="4"/>
    <n v="2.73"/>
    <n v="42000"/>
    <n v="5000"/>
    <n v="0.10526315789473684"/>
    <n v="4348553"/>
  </r>
  <r>
    <x v="67"/>
    <s v="Mufti"/>
    <s v="prise de poids/attote"/>
    <x v="8"/>
    <n v="20"/>
    <n v="1"/>
    <n v="2.25"/>
    <n v="12500"/>
    <n v="1500"/>
    <n v="0.05"/>
    <n v="4586158"/>
  </r>
  <r>
    <x v="67"/>
    <s v="Hadidja"/>
    <s v="parfum de bouche"/>
    <x v="12"/>
    <n v="3"/>
    <m/>
    <n v="1.1499999999999999"/>
    <m/>
    <m/>
    <n v="0"/>
    <n v="4561858"/>
  </r>
  <r>
    <x v="67"/>
    <s v="lutfia"/>
    <s v="glorysmile/savon au riz"/>
    <x v="15"/>
    <m/>
    <m/>
    <m/>
    <m/>
    <m/>
    <n v="0"/>
    <n v="4221767"/>
  </r>
  <r>
    <x v="67"/>
    <s v="fayrati"/>
    <s v="huile/glorysmile/savon au riz"/>
    <x v="18"/>
    <n v="58"/>
    <m/>
    <n v="2.23"/>
    <m/>
    <m/>
    <n v="0"/>
    <n v="4463888"/>
  </r>
  <r>
    <x v="67"/>
    <s v="riwad"/>
    <s v="poudre de poids/savon au riz"/>
    <x v="19"/>
    <n v="27"/>
    <m/>
    <n v="2.13"/>
    <m/>
    <m/>
    <n v="0"/>
    <n v="4559847"/>
  </r>
  <r>
    <x v="67"/>
    <s v="lutfat"/>
    <s v="jel orange/prise de poids"/>
    <x v="21"/>
    <n v="12"/>
    <n v="1"/>
    <n v="1.82"/>
    <n v="4000"/>
    <n v="1000"/>
    <n v="8.3333333333333329E-2"/>
    <n v="4636772"/>
  </r>
  <r>
    <x v="67"/>
    <s v="hamida"/>
    <s v="savon au riz/prise de poids"/>
    <x v="22"/>
    <m/>
    <m/>
    <m/>
    <m/>
    <m/>
    <n v="0"/>
    <n v="3947053"/>
  </r>
  <r>
    <x v="67"/>
    <s v="nayla"/>
    <s v="jel orange /savon orange"/>
    <x v="23"/>
    <n v="21"/>
    <n v="1"/>
    <n v="2.31"/>
    <n v="4000"/>
    <n v="1000"/>
    <n v="4.7619047619047616E-2"/>
    <n v="4587817"/>
  </r>
  <r>
    <x v="67"/>
    <s v="suraya"/>
    <s v="prise de poids/the minceur"/>
    <x v="24"/>
    <n v="55"/>
    <n v="2"/>
    <n v="2.1800000000000002"/>
    <n v="25000"/>
    <n v="3000"/>
    <n v="3.6363636363636362E-2"/>
    <n v="3330821"/>
  </r>
  <r>
    <x v="67"/>
    <s v="kalathoume"/>
    <m/>
    <x v="29"/>
    <n v="18"/>
    <m/>
    <n v="1.44"/>
    <m/>
    <m/>
    <n v="0"/>
    <m/>
  </r>
  <r>
    <x v="67"/>
    <s v="MARİAME"/>
    <m/>
    <x v="28"/>
    <n v="32"/>
    <m/>
    <n v="1.87"/>
    <m/>
    <m/>
    <n v="0"/>
    <m/>
  </r>
  <r>
    <x v="68"/>
    <s v="Boutique de Soin"/>
    <s v="jel orange"/>
    <x v="0"/>
    <n v="21"/>
    <n v="6"/>
    <n v="1.83"/>
    <n v="51000"/>
    <n v="2000"/>
    <n v="0.2857142857142857"/>
    <n v="4316190"/>
  </r>
  <r>
    <x v="68"/>
    <s v="Ben Store"/>
    <s v="prise de poids/savon de riz"/>
    <x v="3"/>
    <n v="15"/>
    <n v="4"/>
    <n v="1.71"/>
    <n v="54500"/>
    <n v="1500"/>
    <n v="0.26666666666666666"/>
    <n v="4554529"/>
  </r>
  <r>
    <x v="68"/>
    <s v="Thamarati"/>
    <s v="glorysmile"/>
    <x v="9"/>
    <n v="46"/>
    <n v="1"/>
    <n v="2.2799999999999998"/>
    <n v="17500"/>
    <m/>
    <n v="2.1739130434782608E-2"/>
    <n v="4348553"/>
  </r>
  <r>
    <x v="68"/>
    <s v="Mufti"/>
    <s v="prise de poids/attote"/>
    <x v="8"/>
    <n v="21"/>
    <m/>
    <n v="1.85"/>
    <m/>
    <m/>
    <n v="0"/>
    <n v="4586158"/>
  </r>
  <r>
    <x v="68"/>
    <s v="Hadidja"/>
    <s v="parfum de bouche"/>
    <x v="12"/>
    <m/>
    <n v="1"/>
    <m/>
    <n v="11500"/>
    <m/>
    <n v="0"/>
    <n v="4561858"/>
  </r>
  <r>
    <x v="68"/>
    <s v="lutfia"/>
    <s v="glorysmile/savon au riz"/>
    <x v="15"/>
    <n v="8"/>
    <n v="3"/>
    <n v="1.63"/>
    <n v="28000"/>
    <n v="3000"/>
    <n v="0.375"/>
    <n v="4221767"/>
  </r>
  <r>
    <x v="68"/>
    <s v="fayrati"/>
    <s v="huile/glorysmile/savon au riz"/>
    <x v="18"/>
    <n v="27"/>
    <n v="1"/>
    <n v="1.5"/>
    <n v="7500"/>
    <m/>
    <n v="3.7037037037037035E-2"/>
    <n v="4463888"/>
  </r>
  <r>
    <x v="68"/>
    <s v="riwad"/>
    <s v="poudre de poids/savon au riz"/>
    <x v="19"/>
    <n v="8"/>
    <m/>
    <n v="1.42"/>
    <m/>
    <m/>
    <n v="0"/>
    <n v="4559847"/>
  </r>
  <r>
    <x v="68"/>
    <s v="lutfat"/>
    <s v="jel orange/prise de poids"/>
    <x v="21"/>
    <n v="21"/>
    <n v="3"/>
    <n v="1.77"/>
    <n v="37500"/>
    <n v="6500"/>
    <n v="0.14285714285714285"/>
    <n v="4636772"/>
  </r>
  <r>
    <x v="68"/>
    <s v="hamida"/>
    <s v="savon au riz/prise de poids"/>
    <x v="22"/>
    <m/>
    <m/>
    <m/>
    <m/>
    <m/>
    <n v="0"/>
    <n v="3947053"/>
  </r>
  <r>
    <x v="68"/>
    <s v="nayla"/>
    <s v="jel orange /savon orange"/>
    <x v="23"/>
    <n v="17"/>
    <m/>
    <n v="1.71"/>
    <m/>
    <m/>
    <n v="0"/>
    <n v="4587817"/>
  </r>
  <r>
    <x v="68"/>
    <s v="kalathoume"/>
    <m/>
    <x v="29"/>
    <n v="0"/>
    <n v="4"/>
    <m/>
    <n v="42500"/>
    <n v="1500"/>
    <n v="0"/>
    <m/>
  </r>
  <r>
    <x v="68"/>
    <s v="suraya"/>
    <s v="prise de poids/the minceur"/>
    <x v="24"/>
    <n v="13"/>
    <m/>
    <n v="1.03"/>
    <m/>
    <m/>
    <n v="0"/>
    <n v="3330821"/>
  </r>
  <r>
    <x v="68"/>
    <s v="MARİAME"/>
    <m/>
    <x v="28"/>
    <n v="26"/>
    <n v="1"/>
    <n v="1.59"/>
    <n v="7500"/>
    <m/>
    <n v="3.8461538461538464E-2"/>
    <m/>
  </r>
  <r>
    <x v="69"/>
    <s v="Boutique de Soin"/>
    <s v="jel orange"/>
    <x v="0"/>
    <n v="30"/>
    <m/>
    <n v="1.9"/>
    <m/>
    <m/>
    <n v="0"/>
    <n v="4316190"/>
  </r>
  <r>
    <x v="69"/>
    <s v="Ben Store"/>
    <s v="prise de poids/savon de riz"/>
    <x v="3"/>
    <n v="7"/>
    <m/>
    <n v="1.17"/>
    <m/>
    <m/>
    <n v="0"/>
    <n v="4554529"/>
  </r>
  <r>
    <x v="69"/>
    <s v="Thamarati"/>
    <s v="glorysmile"/>
    <x v="9"/>
    <n v="17"/>
    <m/>
    <n v="1.1100000000000001"/>
    <m/>
    <m/>
    <n v="0"/>
    <n v="4348553"/>
  </r>
  <r>
    <x v="69"/>
    <s v="Mufti"/>
    <s v="prise de poids/attote"/>
    <x v="8"/>
    <n v="19"/>
    <n v="1"/>
    <n v="1.95"/>
    <n v="20000"/>
    <m/>
    <n v="5.2631578947368418E-2"/>
    <n v="4586158"/>
  </r>
  <r>
    <x v="69"/>
    <s v="Hadidja"/>
    <s v="parfum de bouche"/>
    <x v="12"/>
    <n v="13"/>
    <n v="1"/>
    <n v="1.68"/>
    <n v="4000"/>
    <n v="1000"/>
    <n v="7.6923076923076927E-2"/>
    <n v="4561858"/>
  </r>
  <r>
    <x v="69"/>
    <s v="lutfia"/>
    <s v="glorysmile/savon au riz"/>
    <x v="15"/>
    <m/>
    <m/>
    <m/>
    <m/>
    <m/>
    <n v="0"/>
    <n v="4221767"/>
  </r>
  <r>
    <x v="69"/>
    <s v="fayrati"/>
    <s v="huile/glorysmile/savon au riz"/>
    <x v="18"/>
    <n v="25"/>
    <m/>
    <n v="1.2"/>
    <m/>
    <m/>
    <n v="0"/>
    <n v="4463888"/>
  </r>
  <r>
    <x v="69"/>
    <s v="riwad"/>
    <s v="poudre de poids/savon au riz"/>
    <x v="19"/>
    <n v="3"/>
    <n v="1"/>
    <n v="0.67"/>
    <n v="12500"/>
    <n v="1500"/>
    <n v="0.33333333333333331"/>
    <n v="4559847"/>
  </r>
  <r>
    <x v="69"/>
    <s v="lutfat"/>
    <s v="jel orange/prise de poids"/>
    <x v="21"/>
    <n v="40"/>
    <n v="3"/>
    <n v="2.34"/>
    <n v="32500"/>
    <n v="4500"/>
    <n v="7.4999999999999997E-2"/>
    <n v="4636772"/>
  </r>
  <r>
    <x v="69"/>
    <s v="nayla"/>
    <s v="jel orange /savon orange"/>
    <x v="23"/>
    <n v="9"/>
    <m/>
    <n v="1.42"/>
    <m/>
    <m/>
    <n v="0"/>
    <n v="4587817"/>
  </r>
  <r>
    <x v="69"/>
    <s v="kalathoume"/>
    <m/>
    <x v="29"/>
    <n v="11"/>
    <m/>
    <n v="1.28"/>
    <m/>
    <m/>
    <n v="0"/>
    <m/>
  </r>
  <r>
    <x v="69"/>
    <s v="suraya"/>
    <s v="prise de poids/the minceur"/>
    <x v="24"/>
    <n v="14"/>
    <m/>
    <n v="1.81"/>
    <m/>
    <m/>
    <n v="0"/>
    <n v="3330821"/>
  </r>
  <r>
    <x v="69"/>
    <s v="MARİAME"/>
    <m/>
    <x v="28"/>
    <n v="31"/>
    <m/>
    <n v="2.25"/>
    <m/>
    <m/>
    <n v="0"/>
    <m/>
  </r>
  <r>
    <x v="70"/>
    <s v="Boutique de Soin"/>
    <s v="jel orange"/>
    <x v="0"/>
    <n v="21"/>
    <n v="2"/>
    <n v="1.87"/>
    <n v="19500"/>
    <n v="2000"/>
    <n v="9.5238095238095233E-2"/>
    <n v="4316190"/>
  </r>
  <r>
    <x v="70"/>
    <s v="Ben Store"/>
    <s v="prise de poids/savon de riz"/>
    <x v="3"/>
    <n v="28"/>
    <m/>
    <n v="2.46"/>
    <m/>
    <m/>
    <n v="0"/>
    <n v="4554529"/>
  </r>
  <r>
    <x v="70"/>
    <s v="Thamarati"/>
    <s v="glorysmile"/>
    <x v="9"/>
    <n v="31"/>
    <n v="1"/>
    <n v="1.95"/>
    <n v="12500"/>
    <n v="1500"/>
    <n v="3.2258064516129031E-2"/>
    <n v="4348553"/>
  </r>
  <r>
    <x v="70"/>
    <s v="Mufti"/>
    <s v="prise de poids/attote"/>
    <x v="8"/>
    <n v="21"/>
    <m/>
    <n v="2.2599999999999998"/>
    <m/>
    <m/>
    <n v="0"/>
    <n v="4586158"/>
  </r>
  <r>
    <x v="70"/>
    <s v="Hadidja"/>
    <s v="parfum de bouche"/>
    <x v="12"/>
    <n v="15"/>
    <n v="1"/>
    <n v="2.34"/>
    <n v="4000"/>
    <n v="1000"/>
    <n v="6.6666666666666666E-2"/>
    <n v="4561858"/>
  </r>
  <r>
    <x v="70"/>
    <s v="lutfia"/>
    <s v="glorysmile/savon au riz"/>
    <x v="15"/>
    <m/>
    <m/>
    <m/>
    <m/>
    <m/>
    <n v="0"/>
    <n v="4221767"/>
  </r>
  <r>
    <x v="70"/>
    <s v="fayrati"/>
    <s v="huile/glorysmile/savon au riz"/>
    <x v="18"/>
    <m/>
    <m/>
    <m/>
    <m/>
    <m/>
    <n v="0"/>
    <n v="4463888"/>
  </r>
  <r>
    <x v="70"/>
    <s v="riwad"/>
    <s v="poudre de poids/savon au riz"/>
    <x v="19"/>
    <m/>
    <m/>
    <m/>
    <m/>
    <m/>
    <n v="0"/>
    <n v="4559847"/>
  </r>
  <r>
    <x v="70"/>
    <s v="lutfat"/>
    <s v="jel orange/prise de poids"/>
    <x v="21"/>
    <n v="48"/>
    <n v="4"/>
    <n v="2.19"/>
    <n v="40000"/>
    <n v="8000"/>
    <n v="8.3333333333333329E-2"/>
    <n v="4636772"/>
  </r>
  <r>
    <x v="70"/>
    <s v="hamida"/>
    <s v="savon au riz/prise de poids"/>
    <x v="22"/>
    <m/>
    <m/>
    <m/>
    <m/>
    <m/>
    <n v="0"/>
    <n v="3947053"/>
  </r>
  <r>
    <x v="70"/>
    <s v="nayla"/>
    <s v="jel orange /savon orange"/>
    <x v="23"/>
    <n v="21"/>
    <n v="1"/>
    <n v="2.34"/>
    <n v="4000"/>
    <n v="1000"/>
    <n v="4.7619047619047616E-2"/>
    <n v="4587817"/>
  </r>
  <r>
    <x v="70"/>
    <s v="suraya"/>
    <s v="prise de poids/the minceur"/>
    <x v="24"/>
    <n v="16"/>
    <n v="2"/>
    <n v="2.34"/>
    <n v="30000"/>
    <n v="4000"/>
    <n v="0.125"/>
    <n v="3330821"/>
  </r>
  <r>
    <x v="70"/>
    <s v="MARİAME"/>
    <m/>
    <x v="28"/>
    <n v="29"/>
    <m/>
    <n v="2.2200000000000002"/>
    <m/>
    <m/>
    <n v="0"/>
    <n v="4336877"/>
  </r>
  <r>
    <x v="70"/>
    <s v="kalathoume"/>
    <m/>
    <x v="29"/>
    <n v="25"/>
    <n v="2"/>
    <n v="2.64"/>
    <n v="20000"/>
    <n v="2500"/>
    <n v="0.08"/>
    <n v="4605616"/>
  </r>
  <r>
    <x v="70"/>
    <s v="takwim"/>
    <m/>
    <x v="1"/>
    <m/>
    <n v="1"/>
    <m/>
    <n v="12500"/>
    <n v="2500"/>
    <n v="0"/>
    <n v="3234586"/>
  </r>
  <r>
    <x v="71"/>
    <s v="Boutique de Soin"/>
    <s v="jel orange"/>
    <x v="0"/>
    <m/>
    <m/>
    <m/>
    <m/>
    <m/>
    <n v="0"/>
    <n v="4316190"/>
  </r>
  <r>
    <x v="71"/>
    <s v="Ben Store"/>
    <s v="prise de poids/savon de riz"/>
    <x v="3"/>
    <m/>
    <m/>
    <m/>
    <m/>
    <m/>
    <n v="0"/>
    <n v="4554529"/>
  </r>
  <r>
    <x v="71"/>
    <s v="Thamarati"/>
    <s v="glorysmile"/>
    <x v="9"/>
    <m/>
    <m/>
    <m/>
    <m/>
    <m/>
    <n v="0"/>
    <n v="4348553"/>
  </r>
  <r>
    <x v="71"/>
    <s v="Mufti"/>
    <s v="prise de poids/attote"/>
    <x v="8"/>
    <m/>
    <m/>
    <m/>
    <m/>
    <m/>
    <n v="0"/>
    <n v="4586158"/>
  </r>
  <r>
    <x v="71"/>
    <s v="Hadidja"/>
    <s v="parfum de bouche"/>
    <x v="12"/>
    <m/>
    <m/>
    <m/>
    <m/>
    <m/>
    <n v="0"/>
    <n v="4561858"/>
  </r>
  <r>
    <x v="71"/>
    <s v="lutfia"/>
    <s v="glorysmile/savon au riz"/>
    <x v="15"/>
    <m/>
    <m/>
    <m/>
    <m/>
    <m/>
    <n v="0"/>
    <n v="4221767"/>
  </r>
  <r>
    <x v="71"/>
    <s v="fayrati"/>
    <s v="huile/glorysmile/savon au riz"/>
    <x v="18"/>
    <m/>
    <m/>
    <m/>
    <m/>
    <m/>
    <n v="0"/>
    <n v="4463888"/>
  </r>
  <r>
    <x v="71"/>
    <s v="riwad"/>
    <s v="poudre de poids/savon au riz"/>
    <x v="19"/>
    <m/>
    <m/>
    <m/>
    <m/>
    <m/>
    <n v="0"/>
    <n v="4559847"/>
  </r>
  <r>
    <x v="71"/>
    <s v="lutfat"/>
    <s v="jel orange/prise de poids"/>
    <x v="21"/>
    <m/>
    <m/>
    <m/>
    <m/>
    <m/>
    <n v="0"/>
    <n v="4636772"/>
  </r>
  <r>
    <x v="71"/>
    <s v="hamida"/>
    <s v="savon au riz/prise de poids"/>
    <x v="22"/>
    <m/>
    <m/>
    <m/>
    <m/>
    <m/>
    <n v="0"/>
    <n v="3947053"/>
  </r>
  <r>
    <x v="71"/>
    <s v="nayla"/>
    <s v="jel orange /savon orange"/>
    <x v="23"/>
    <m/>
    <m/>
    <m/>
    <m/>
    <m/>
    <n v="0"/>
    <n v="4587817"/>
  </r>
  <r>
    <x v="71"/>
    <s v="suraya"/>
    <s v="prise de poids/the minceur"/>
    <x v="24"/>
    <m/>
    <m/>
    <m/>
    <m/>
    <m/>
    <n v="0"/>
    <n v="3330821"/>
  </r>
  <r>
    <x v="71"/>
    <s v="MARİAME"/>
    <m/>
    <x v="28"/>
    <m/>
    <m/>
    <m/>
    <m/>
    <m/>
    <n v="0"/>
    <m/>
  </r>
  <r>
    <x v="71"/>
    <s v="kalathoume"/>
    <m/>
    <x v="29"/>
    <m/>
    <m/>
    <m/>
    <m/>
    <m/>
    <n v="0"/>
    <m/>
  </r>
  <r>
    <x v="71"/>
    <s v="takwim"/>
    <m/>
    <x v="1"/>
    <m/>
    <m/>
    <m/>
    <m/>
    <m/>
    <n v="0"/>
    <m/>
  </r>
  <r>
    <x v="72"/>
    <s v="Boutique de Soin"/>
    <s v="jel orange"/>
    <x v="0"/>
    <m/>
    <m/>
    <m/>
    <m/>
    <m/>
    <n v="0"/>
    <n v="4316190"/>
  </r>
  <r>
    <x v="72"/>
    <s v="Ben Store"/>
    <s v="prise de poids/savon de riz"/>
    <x v="3"/>
    <m/>
    <m/>
    <m/>
    <m/>
    <m/>
    <n v="0"/>
    <n v="4554529"/>
  </r>
  <r>
    <x v="72"/>
    <s v="Thamarati"/>
    <s v="glorysmile"/>
    <x v="9"/>
    <m/>
    <m/>
    <m/>
    <m/>
    <m/>
    <n v="0"/>
    <n v="4348553"/>
  </r>
  <r>
    <x v="72"/>
    <s v="Mufti"/>
    <s v="prise de poids/attote"/>
    <x v="8"/>
    <m/>
    <m/>
    <m/>
    <m/>
    <m/>
    <n v="0"/>
    <n v="4586158"/>
  </r>
  <r>
    <x v="72"/>
    <s v="Hadidja"/>
    <s v="parfum de bouche"/>
    <x v="12"/>
    <m/>
    <m/>
    <m/>
    <m/>
    <m/>
    <n v="0"/>
    <n v="4561858"/>
  </r>
  <r>
    <x v="72"/>
    <s v="lutfia"/>
    <s v="glorysmile/savon au riz"/>
    <x v="15"/>
    <m/>
    <m/>
    <m/>
    <m/>
    <m/>
    <n v="0"/>
    <n v="4221767"/>
  </r>
  <r>
    <x v="72"/>
    <s v="fayrati"/>
    <s v="huile/glorysmile/savon au riz"/>
    <x v="18"/>
    <m/>
    <m/>
    <m/>
    <m/>
    <m/>
    <n v="0"/>
    <n v="4463888"/>
  </r>
  <r>
    <x v="72"/>
    <s v="riwad"/>
    <s v="poudre de poids/savon au riz"/>
    <x v="19"/>
    <m/>
    <m/>
    <m/>
    <m/>
    <m/>
    <n v="0"/>
    <n v="4559847"/>
  </r>
  <r>
    <x v="72"/>
    <s v="lutfat"/>
    <s v="jel orange/prise de poids"/>
    <x v="21"/>
    <m/>
    <m/>
    <m/>
    <m/>
    <m/>
    <n v="0"/>
    <n v="4636772"/>
  </r>
  <r>
    <x v="72"/>
    <s v="hamida"/>
    <s v="savon au riz/prise de poids"/>
    <x v="22"/>
    <m/>
    <m/>
    <m/>
    <m/>
    <m/>
    <n v="0"/>
    <n v="3947053"/>
  </r>
  <r>
    <x v="72"/>
    <s v="nayla"/>
    <s v="jel orange /savon orange"/>
    <x v="23"/>
    <m/>
    <m/>
    <m/>
    <m/>
    <m/>
    <n v="0"/>
    <n v="4587817"/>
  </r>
  <r>
    <x v="72"/>
    <s v="suraya"/>
    <s v="prise de poids/the minceur"/>
    <x v="24"/>
    <m/>
    <m/>
    <m/>
    <m/>
    <m/>
    <n v="0"/>
    <n v="3330821"/>
  </r>
  <r>
    <x v="72"/>
    <s v="MARİAME"/>
    <m/>
    <x v="28"/>
    <m/>
    <m/>
    <m/>
    <m/>
    <m/>
    <n v="0"/>
    <m/>
  </r>
  <r>
    <x v="72"/>
    <s v="kalathoume"/>
    <m/>
    <x v="29"/>
    <m/>
    <m/>
    <m/>
    <m/>
    <m/>
    <n v="0"/>
    <m/>
  </r>
  <r>
    <x v="72"/>
    <s v="takwim"/>
    <m/>
    <x v="1"/>
    <m/>
    <m/>
    <m/>
    <m/>
    <m/>
    <n v="0"/>
    <m/>
  </r>
  <r>
    <x v="71"/>
    <s v="Boutique de Soin"/>
    <s v="jel orange"/>
    <x v="0"/>
    <m/>
    <m/>
    <m/>
    <m/>
    <m/>
    <n v="0"/>
    <n v="4316190"/>
  </r>
  <r>
    <x v="73"/>
    <s v="Ben Store"/>
    <s v="prise de poids/savon de riz"/>
    <x v="3"/>
    <m/>
    <m/>
    <m/>
    <m/>
    <m/>
    <n v="0"/>
    <n v="4554529"/>
  </r>
  <r>
    <x v="73"/>
    <s v="Thamarati"/>
    <s v="glorysmile"/>
    <x v="9"/>
    <m/>
    <m/>
    <m/>
    <m/>
    <m/>
    <n v="0"/>
    <n v="4348553"/>
  </r>
  <r>
    <x v="73"/>
    <s v="Mufti"/>
    <s v="prise de poids/attote"/>
    <x v="8"/>
    <m/>
    <m/>
    <m/>
    <m/>
    <m/>
    <n v="0"/>
    <n v="4586158"/>
  </r>
  <r>
    <x v="73"/>
    <s v="Hadidja"/>
    <s v="parfum de bouche"/>
    <x v="12"/>
    <m/>
    <m/>
    <m/>
    <m/>
    <m/>
    <n v="0"/>
    <n v="4561858"/>
  </r>
  <r>
    <x v="73"/>
    <s v="lutfia"/>
    <s v="glorysmile/savon au riz"/>
    <x v="15"/>
    <m/>
    <m/>
    <m/>
    <m/>
    <m/>
    <n v="0"/>
    <n v="4221767"/>
  </r>
  <r>
    <x v="73"/>
    <s v="fayrati"/>
    <s v="huile/glorysmile/savon au riz"/>
    <x v="18"/>
    <m/>
    <m/>
    <m/>
    <m/>
    <m/>
    <n v="0"/>
    <n v="4463888"/>
  </r>
  <r>
    <x v="73"/>
    <s v="riwad"/>
    <s v="poudre de poids/savon au riz"/>
    <x v="19"/>
    <m/>
    <m/>
    <m/>
    <m/>
    <m/>
    <n v="0"/>
    <n v="4559847"/>
  </r>
  <r>
    <x v="73"/>
    <s v="lutfat"/>
    <s v="jel orange/prise de poids"/>
    <x v="21"/>
    <m/>
    <m/>
    <m/>
    <m/>
    <m/>
    <n v="0"/>
    <n v="4636772"/>
  </r>
  <r>
    <x v="73"/>
    <s v="hamida"/>
    <s v="savon au riz/prise de poids"/>
    <x v="22"/>
    <m/>
    <m/>
    <m/>
    <m/>
    <m/>
    <n v="0"/>
    <n v="3947053"/>
  </r>
  <r>
    <x v="73"/>
    <s v="nayla"/>
    <s v="jel orange /savon orange"/>
    <x v="23"/>
    <m/>
    <m/>
    <m/>
    <m/>
    <m/>
    <n v="0"/>
    <n v="4587817"/>
  </r>
  <r>
    <x v="73"/>
    <s v="suraya"/>
    <s v="prise de poids/the minceur"/>
    <x v="24"/>
    <m/>
    <m/>
    <m/>
    <m/>
    <m/>
    <n v="0"/>
    <n v="3330821"/>
  </r>
  <r>
    <x v="73"/>
    <s v="MARİAME"/>
    <m/>
    <x v="28"/>
    <m/>
    <m/>
    <m/>
    <m/>
    <m/>
    <n v="0"/>
    <m/>
  </r>
  <r>
    <x v="73"/>
    <s v="kalathoume"/>
    <m/>
    <x v="29"/>
    <m/>
    <m/>
    <m/>
    <m/>
    <m/>
    <n v="0"/>
    <m/>
  </r>
  <r>
    <x v="73"/>
    <s v="takwim"/>
    <m/>
    <x v="1"/>
    <m/>
    <m/>
    <m/>
    <m/>
    <m/>
    <n v="0"/>
    <m/>
  </r>
  <r>
    <x v="74"/>
    <s v="Boutique de Soin"/>
    <s v="jel orange"/>
    <x v="0"/>
    <m/>
    <m/>
    <m/>
    <m/>
    <m/>
    <n v="0"/>
    <n v="4316190"/>
  </r>
  <r>
    <x v="74"/>
    <s v="Ben Store"/>
    <s v="prise de poids/savon de riz"/>
    <x v="3"/>
    <m/>
    <m/>
    <m/>
    <m/>
    <m/>
    <n v="0"/>
    <n v="4554529"/>
  </r>
  <r>
    <x v="74"/>
    <s v="Thamarati"/>
    <s v="glorysmile"/>
    <x v="9"/>
    <m/>
    <m/>
    <m/>
    <m/>
    <m/>
    <n v="0"/>
    <n v="4348553"/>
  </r>
  <r>
    <x v="74"/>
    <s v="Mufti"/>
    <s v="prise de poids/attote"/>
    <x v="8"/>
    <m/>
    <m/>
    <m/>
    <m/>
    <m/>
    <n v="0"/>
    <n v="4586158"/>
  </r>
  <r>
    <x v="74"/>
    <s v="Hadidja"/>
    <s v="parfum de bouche"/>
    <x v="12"/>
    <m/>
    <m/>
    <m/>
    <m/>
    <m/>
    <n v="0"/>
    <n v="4561858"/>
  </r>
  <r>
    <x v="74"/>
    <s v="lutfia"/>
    <s v="glorysmile/savon au riz"/>
    <x v="15"/>
    <m/>
    <m/>
    <m/>
    <m/>
    <m/>
    <n v="0"/>
    <n v="4221767"/>
  </r>
  <r>
    <x v="74"/>
    <s v="fayrati"/>
    <s v="huile/glorysmile/savon au riz"/>
    <x v="18"/>
    <m/>
    <m/>
    <m/>
    <m/>
    <m/>
    <n v="0"/>
    <n v="4463888"/>
  </r>
  <r>
    <x v="74"/>
    <s v="riwad"/>
    <s v="poudre de poids/savon au riz"/>
    <x v="19"/>
    <m/>
    <m/>
    <m/>
    <m/>
    <m/>
    <n v="0"/>
    <n v="4559847"/>
  </r>
  <r>
    <x v="74"/>
    <s v="lutfat"/>
    <s v="jel orange/prise de poids"/>
    <x v="21"/>
    <m/>
    <m/>
    <m/>
    <m/>
    <m/>
    <n v="0"/>
    <n v="4636772"/>
  </r>
  <r>
    <x v="74"/>
    <s v="hamida"/>
    <s v="savon au riz/prise de poids"/>
    <x v="22"/>
    <m/>
    <m/>
    <m/>
    <m/>
    <m/>
    <n v="0"/>
    <n v="3947053"/>
  </r>
  <r>
    <x v="74"/>
    <s v="nayla"/>
    <s v="jel orange /savon orange"/>
    <x v="23"/>
    <m/>
    <m/>
    <m/>
    <m/>
    <m/>
    <n v="0"/>
    <n v="4587817"/>
  </r>
  <r>
    <x v="74"/>
    <s v="suraya"/>
    <s v="prise de poids/the minceur"/>
    <x v="24"/>
    <m/>
    <m/>
    <m/>
    <m/>
    <m/>
    <n v="0"/>
    <n v="3330821"/>
  </r>
  <r>
    <x v="74"/>
    <s v="MARİAME"/>
    <m/>
    <x v="28"/>
    <m/>
    <m/>
    <m/>
    <m/>
    <m/>
    <n v="0"/>
    <m/>
  </r>
  <r>
    <x v="74"/>
    <s v="kalathoume"/>
    <m/>
    <x v="29"/>
    <m/>
    <m/>
    <m/>
    <m/>
    <m/>
    <n v="0"/>
    <m/>
  </r>
  <r>
    <x v="74"/>
    <s v="takwim"/>
    <m/>
    <x v="1"/>
    <m/>
    <m/>
    <m/>
    <m/>
    <m/>
    <n v="0"/>
    <m/>
  </r>
  <r>
    <x v="75"/>
    <s v="Boutique de Soin"/>
    <s v="jel orange"/>
    <x v="0"/>
    <m/>
    <m/>
    <m/>
    <m/>
    <m/>
    <n v="0"/>
    <n v="4316190"/>
  </r>
  <r>
    <x v="75"/>
    <s v="Ben Store"/>
    <s v="prise de poids/savon de riz"/>
    <x v="3"/>
    <m/>
    <m/>
    <m/>
    <m/>
    <m/>
    <n v="0"/>
    <n v="4554529"/>
  </r>
  <r>
    <x v="75"/>
    <s v="Thamarati"/>
    <s v="glorysmile"/>
    <x v="9"/>
    <m/>
    <m/>
    <m/>
    <m/>
    <m/>
    <n v="0"/>
    <n v="4348553"/>
  </r>
  <r>
    <x v="75"/>
    <s v="Mufti"/>
    <s v="prise de poids/attote"/>
    <x v="8"/>
    <m/>
    <m/>
    <m/>
    <m/>
    <m/>
    <n v="0"/>
    <n v="4586158"/>
  </r>
  <r>
    <x v="75"/>
    <s v="Hadidja"/>
    <s v="parfum de bouche"/>
    <x v="12"/>
    <m/>
    <m/>
    <m/>
    <m/>
    <m/>
    <n v="0"/>
    <n v="4561858"/>
  </r>
  <r>
    <x v="75"/>
    <s v="lutfia"/>
    <s v="glorysmile/savon au riz"/>
    <x v="15"/>
    <m/>
    <m/>
    <m/>
    <m/>
    <m/>
    <n v="0"/>
    <n v="4221767"/>
  </r>
  <r>
    <x v="75"/>
    <s v="fayrati"/>
    <s v="huile/glorysmile/savon au riz"/>
    <x v="18"/>
    <m/>
    <m/>
    <m/>
    <m/>
    <m/>
    <n v="0"/>
    <n v="4463888"/>
  </r>
  <r>
    <x v="75"/>
    <s v="riwad"/>
    <s v="poudre de poids/savon au riz"/>
    <x v="19"/>
    <m/>
    <m/>
    <m/>
    <m/>
    <m/>
    <n v="0"/>
    <n v="4559847"/>
  </r>
  <r>
    <x v="75"/>
    <s v="lutfat"/>
    <s v="jel orange/prise de poids"/>
    <x v="21"/>
    <m/>
    <m/>
    <m/>
    <m/>
    <m/>
    <n v="0"/>
    <n v="4636772"/>
  </r>
  <r>
    <x v="75"/>
    <s v="hamida"/>
    <s v="savon au riz/prise de poids"/>
    <x v="22"/>
    <m/>
    <m/>
    <m/>
    <m/>
    <m/>
    <n v="0"/>
    <n v="3947053"/>
  </r>
  <r>
    <x v="75"/>
    <s v="nayla"/>
    <s v="jel orange /savon orange"/>
    <x v="23"/>
    <m/>
    <m/>
    <m/>
    <m/>
    <m/>
    <n v="0"/>
    <n v="4587817"/>
  </r>
  <r>
    <x v="75"/>
    <s v="suraya"/>
    <s v="prise de poids/the minceur"/>
    <x v="24"/>
    <m/>
    <m/>
    <m/>
    <m/>
    <m/>
    <n v="0"/>
    <n v="3330821"/>
  </r>
  <r>
    <x v="75"/>
    <s v="MARİAME"/>
    <m/>
    <x v="28"/>
    <m/>
    <m/>
    <m/>
    <m/>
    <m/>
    <n v="0"/>
    <m/>
  </r>
  <r>
    <x v="75"/>
    <s v="kalathoume"/>
    <m/>
    <x v="29"/>
    <m/>
    <m/>
    <m/>
    <m/>
    <m/>
    <n v="0"/>
    <m/>
  </r>
  <r>
    <x v="75"/>
    <s v="takwim"/>
    <m/>
    <x v="1"/>
    <m/>
    <m/>
    <m/>
    <m/>
    <m/>
    <n v="0"/>
    <m/>
  </r>
  <r>
    <x v="76"/>
    <s v="Boutique de Soin"/>
    <s v="jel orange"/>
    <x v="0"/>
    <m/>
    <m/>
    <m/>
    <m/>
    <m/>
    <n v="0"/>
    <n v="4316190"/>
  </r>
  <r>
    <x v="76"/>
    <s v="Ben Store"/>
    <s v="prise de poids/savon de riz"/>
    <x v="3"/>
    <m/>
    <m/>
    <m/>
    <m/>
    <m/>
    <n v="0"/>
    <n v="4554529"/>
  </r>
  <r>
    <x v="76"/>
    <s v="Thamarati"/>
    <s v="glorysmile"/>
    <x v="9"/>
    <m/>
    <m/>
    <m/>
    <m/>
    <m/>
    <n v="0"/>
    <n v="4348553"/>
  </r>
  <r>
    <x v="76"/>
    <s v="Mufti"/>
    <s v="prise de poids/attote"/>
    <x v="8"/>
    <m/>
    <m/>
    <m/>
    <m/>
    <m/>
    <n v="0"/>
    <n v="4586158"/>
  </r>
  <r>
    <x v="76"/>
    <s v="Hadidja"/>
    <s v="parfum de bouche"/>
    <x v="12"/>
    <m/>
    <m/>
    <m/>
    <m/>
    <m/>
    <n v="0"/>
    <n v="4561858"/>
  </r>
  <r>
    <x v="76"/>
    <s v="lutfia"/>
    <s v="glorysmile/savon au riz"/>
    <x v="15"/>
    <m/>
    <m/>
    <m/>
    <m/>
    <m/>
    <n v="0"/>
    <n v="4221767"/>
  </r>
  <r>
    <x v="76"/>
    <s v="fayrati"/>
    <s v="huile/glorysmile/savon au riz"/>
    <x v="18"/>
    <m/>
    <m/>
    <m/>
    <m/>
    <m/>
    <n v="0"/>
    <n v="4463888"/>
  </r>
  <r>
    <x v="76"/>
    <s v="riwad"/>
    <s v="poudre de poids/savon au riz"/>
    <x v="19"/>
    <m/>
    <m/>
    <m/>
    <m/>
    <m/>
    <n v="0"/>
    <n v="4559847"/>
  </r>
  <r>
    <x v="76"/>
    <s v="lutfat"/>
    <s v="jel orange/prise de poids"/>
    <x v="21"/>
    <m/>
    <m/>
    <m/>
    <m/>
    <m/>
    <n v="0"/>
    <n v="4636772"/>
  </r>
  <r>
    <x v="76"/>
    <s v="hamida"/>
    <s v="savon au riz/prise de poids"/>
    <x v="22"/>
    <m/>
    <m/>
    <m/>
    <m/>
    <m/>
    <n v="0"/>
    <n v="3947053"/>
  </r>
  <r>
    <x v="76"/>
    <s v="nayla"/>
    <s v="jel orange /savon orange"/>
    <x v="23"/>
    <m/>
    <m/>
    <m/>
    <m/>
    <m/>
    <n v="0"/>
    <n v="4587817"/>
  </r>
  <r>
    <x v="76"/>
    <s v="suraya"/>
    <s v="prise de poids/the minceur"/>
    <x v="24"/>
    <m/>
    <m/>
    <m/>
    <m/>
    <m/>
    <n v="0"/>
    <n v="3330821"/>
  </r>
  <r>
    <x v="76"/>
    <s v="MARİAME"/>
    <m/>
    <x v="28"/>
    <m/>
    <m/>
    <m/>
    <m/>
    <m/>
    <n v="0"/>
    <m/>
  </r>
  <r>
    <x v="76"/>
    <s v="kalathoume"/>
    <m/>
    <x v="29"/>
    <m/>
    <m/>
    <m/>
    <m/>
    <m/>
    <n v="0"/>
    <m/>
  </r>
  <r>
    <x v="76"/>
    <s v="takwim"/>
    <m/>
    <x v="1"/>
    <m/>
    <m/>
    <m/>
    <m/>
    <m/>
    <n v="0"/>
    <m/>
  </r>
  <r>
    <x v="77"/>
    <s v="Boutique de Soin"/>
    <s v="jel orange"/>
    <x v="0"/>
    <m/>
    <m/>
    <m/>
    <m/>
    <m/>
    <n v="0"/>
    <n v="4316190"/>
  </r>
  <r>
    <x v="77"/>
    <s v="Ben Store"/>
    <s v="prise de poids/savon de riz"/>
    <x v="3"/>
    <m/>
    <m/>
    <m/>
    <m/>
    <m/>
    <n v="0"/>
    <n v="4554529"/>
  </r>
  <r>
    <x v="77"/>
    <s v="Thamarati"/>
    <s v="glorysmile"/>
    <x v="9"/>
    <m/>
    <m/>
    <m/>
    <m/>
    <m/>
    <n v="0"/>
    <n v="4348553"/>
  </r>
  <r>
    <x v="77"/>
    <s v="Mufti"/>
    <s v="prise de poids/attote"/>
    <x v="8"/>
    <m/>
    <m/>
    <m/>
    <m/>
    <m/>
    <n v="0"/>
    <n v="4586158"/>
  </r>
  <r>
    <x v="77"/>
    <s v="Hadidja"/>
    <s v="parfum de bouche"/>
    <x v="12"/>
    <m/>
    <m/>
    <m/>
    <m/>
    <m/>
    <n v="0"/>
    <n v="4561858"/>
  </r>
  <r>
    <x v="77"/>
    <s v="lutfia"/>
    <s v="glorysmile/savon au riz"/>
    <x v="15"/>
    <m/>
    <m/>
    <m/>
    <m/>
    <m/>
    <n v="0"/>
    <n v="4221767"/>
  </r>
  <r>
    <x v="77"/>
    <s v="fayrati"/>
    <s v="huile/glorysmile/savon au riz"/>
    <x v="18"/>
    <m/>
    <m/>
    <m/>
    <m/>
    <m/>
    <n v="0"/>
    <n v="4463888"/>
  </r>
  <r>
    <x v="77"/>
    <s v="riwad"/>
    <s v="poudre de poids/savon au riz"/>
    <x v="19"/>
    <m/>
    <m/>
    <m/>
    <m/>
    <m/>
    <n v="0"/>
    <n v="4559847"/>
  </r>
  <r>
    <x v="77"/>
    <s v="lutfat"/>
    <s v="jel orange/prise de poids"/>
    <x v="21"/>
    <m/>
    <m/>
    <m/>
    <m/>
    <m/>
    <n v="0"/>
    <n v="4636772"/>
  </r>
  <r>
    <x v="77"/>
    <s v="hamida"/>
    <s v="savon au riz/prise de poids"/>
    <x v="22"/>
    <m/>
    <m/>
    <m/>
    <m/>
    <m/>
    <n v="0"/>
    <n v="3947053"/>
  </r>
  <r>
    <x v="77"/>
    <s v="nayla"/>
    <s v="jel orange /savon orange"/>
    <x v="23"/>
    <m/>
    <m/>
    <m/>
    <m/>
    <m/>
    <n v="0"/>
    <n v="4587817"/>
  </r>
  <r>
    <x v="77"/>
    <s v="suraya"/>
    <s v="prise de poids/the minceur"/>
    <x v="24"/>
    <m/>
    <m/>
    <m/>
    <m/>
    <m/>
    <n v="0"/>
    <n v="3330821"/>
  </r>
  <r>
    <x v="77"/>
    <s v="MARİAME"/>
    <m/>
    <x v="28"/>
    <m/>
    <m/>
    <m/>
    <m/>
    <m/>
    <n v="0"/>
    <m/>
  </r>
  <r>
    <x v="77"/>
    <s v="kalathoume"/>
    <m/>
    <x v="29"/>
    <m/>
    <m/>
    <m/>
    <m/>
    <m/>
    <n v="0"/>
    <m/>
  </r>
  <r>
    <x v="77"/>
    <s v="takwim"/>
    <m/>
    <x v="1"/>
    <m/>
    <m/>
    <m/>
    <m/>
    <m/>
    <n v="0"/>
    <m/>
  </r>
  <r>
    <x v="78"/>
    <s v="Boutique de Soin"/>
    <s v="jel orange"/>
    <x v="0"/>
    <n v="101"/>
    <n v="1"/>
    <n v="2.58"/>
    <n v="10000"/>
    <n v="1500"/>
    <n v="9.9009900990099011E-3"/>
    <n v="4316190"/>
  </r>
  <r>
    <x v="78"/>
    <s v="Ben Store"/>
    <s v="prise de poids/savon de riz"/>
    <x v="3"/>
    <n v="14"/>
    <m/>
    <n v="0.3"/>
    <m/>
    <m/>
    <n v="0"/>
    <n v="4554529"/>
  </r>
  <r>
    <x v="78"/>
    <s v="Thamarati"/>
    <s v="glorysmile"/>
    <x v="9"/>
    <m/>
    <m/>
    <m/>
    <m/>
    <m/>
    <n v="0"/>
    <n v="4348553"/>
  </r>
  <r>
    <x v="78"/>
    <s v="Mufti"/>
    <s v="prise de poids/attote"/>
    <x v="8"/>
    <n v="2"/>
    <n v="1"/>
    <m/>
    <n v="17500"/>
    <n v="2500"/>
    <n v="0.5"/>
    <n v="4586158"/>
  </r>
  <r>
    <x v="78"/>
    <s v="Hadidja"/>
    <s v="parfum de bouche"/>
    <x v="12"/>
    <m/>
    <m/>
    <m/>
    <m/>
    <m/>
    <n v="0"/>
    <n v="4561858"/>
  </r>
  <r>
    <x v="78"/>
    <s v="lutfia"/>
    <s v="glorysmile/savon au riz"/>
    <x v="15"/>
    <m/>
    <m/>
    <m/>
    <m/>
    <m/>
    <n v="0"/>
    <n v="4221767"/>
  </r>
  <r>
    <x v="78"/>
    <s v="fayrati"/>
    <s v="huile/glorysmile/savon au riz"/>
    <x v="18"/>
    <n v="12"/>
    <m/>
    <n v="0.56000000000000005"/>
    <m/>
    <m/>
    <n v="0"/>
    <n v="4463888"/>
  </r>
  <r>
    <x v="78"/>
    <s v="riwad"/>
    <s v="poudre de poids/savon au riz"/>
    <x v="19"/>
    <m/>
    <m/>
    <m/>
    <m/>
    <m/>
    <n v="0"/>
    <n v="4559847"/>
  </r>
  <r>
    <x v="78"/>
    <s v="lutfat"/>
    <s v="jel orange/prise de poids"/>
    <x v="21"/>
    <n v="24"/>
    <n v="3"/>
    <n v="0.82"/>
    <n v="32500"/>
    <n v="6500"/>
    <n v="0.125"/>
    <n v="4636772"/>
  </r>
  <r>
    <x v="78"/>
    <s v="hamida"/>
    <s v="savon au riz/prise de poids"/>
    <x v="22"/>
    <m/>
    <m/>
    <m/>
    <m/>
    <m/>
    <n v="0"/>
    <n v="3947053"/>
  </r>
  <r>
    <x v="78"/>
    <s v="nayla"/>
    <s v="jel orange /savon orange"/>
    <x v="23"/>
    <n v="5"/>
    <m/>
    <n v="0.42"/>
    <m/>
    <m/>
    <n v="0"/>
    <n v="4587817"/>
  </r>
  <r>
    <x v="78"/>
    <s v="suraya"/>
    <s v="prise de poids/the minceur"/>
    <x v="24"/>
    <m/>
    <m/>
    <m/>
    <m/>
    <m/>
    <n v="0"/>
    <n v="3330821"/>
  </r>
  <r>
    <x v="78"/>
    <s v="MARİAME"/>
    <m/>
    <x v="28"/>
    <n v="10"/>
    <m/>
    <n v="0.35"/>
    <m/>
    <m/>
    <n v="0"/>
    <m/>
  </r>
  <r>
    <x v="78"/>
    <s v="kalathoume"/>
    <m/>
    <x v="30"/>
    <n v="30"/>
    <m/>
    <n v="0.88"/>
    <m/>
    <m/>
    <n v="0"/>
    <m/>
  </r>
  <r>
    <x v="78"/>
    <s v="takwim"/>
    <m/>
    <x v="1"/>
    <m/>
    <m/>
    <m/>
    <m/>
    <m/>
    <n v="0"/>
    <m/>
  </r>
  <r>
    <x v="79"/>
    <s v="Boutique de Soin"/>
    <s v="jel orange"/>
    <x v="0"/>
    <n v="2"/>
    <n v="1"/>
    <n v="0.05"/>
    <n v="10000"/>
    <n v="1500"/>
    <n v="0.5"/>
    <n v="4316190"/>
  </r>
  <r>
    <x v="79"/>
    <s v="Ben Store"/>
    <s v="prise de poids/savon de riz"/>
    <x v="3"/>
    <n v="4"/>
    <m/>
    <n v="0.03"/>
    <m/>
    <m/>
    <n v="0"/>
    <n v="4554529"/>
  </r>
  <r>
    <x v="79"/>
    <s v="Thamarati"/>
    <s v="glorysmile"/>
    <x v="9"/>
    <n v="2"/>
    <m/>
    <n v="0.38"/>
    <m/>
    <m/>
    <n v="0"/>
    <n v="4348553"/>
  </r>
  <r>
    <x v="79"/>
    <s v="Mufti"/>
    <s v="prise de poids/attote"/>
    <x v="8"/>
    <m/>
    <n v="1"/>
    <m/>
    <n v="4000"/>
    <n v="1000"/>
    <n v="0"/>
    <n v="4586158"/>
  </r>
  <r>
    <x v="79"/>
    <s v="Hadidja"/>
    <s v="parfum de bouche"/>
    <x v="12"/>
    <m/>
    <m/>
    <m/>
    <m/>
    <m/>
    <n v="0"/>
    <n v="4561858"/>
  </r>
  <r>
    <x v="79"/>
    <s v="lutfia"/>
    <s v="glorysmile/savon au riz"/>
    <x v="15"/>
    <m/>
    <m/>
    <m/>
    <m/>
    <m/>
    <n v="0"/>
    <n v="4221767"/>
  </r>
  <r>
    <x v="79"/>
    <s v="fayrati"/>
    <s v="huile/glorysmile/savon au riz"/>
    <x v="18"/>
    <m/>
    <m/>
    <m/>
    <m/>
    <m/>
    <n v="0"/>
    <n v="4463888"/>
  </r>
  <r>
    <x v="79"/>
    <s v="riwad"/>
    <s v="poudre de poids/savon au riz"/>
    <x v="19"/>
    <m/>
    <m/>
    <m/>
    <m/>
    <m/>
    <n v="0"/>
    <n v="4559847"/>
  </r>
  <r>
    <x v="79"/>
    <s v="lutfat"/>
    <s v="jel orange/prise de poids"/>
    <x v="21"/>
    <n v="15"/>
    <m/>
    <n v="0.4"/>
    <m/>
    <m/>
    <n v="0"/>
    <n v="4636772"/>
  </r>
  <r>
    <x v="79"/>
    <s v="hamida"/>
    <s v="savon au riz/prise de poids"/>
    <x v="22"/>
    <m/>
    <m/>
    <m/>
    <m/>
    <m/>
    <n v="0"/>
    <n v="3947053"/>
  </r>
  <r>
    <x v="79"/>
    <s v="nayla"/>
    <s v="jel orange /savon orange"/>
    <x v="23"/>
    <m/>
    <m/>
    <m/>
    <m/>
    <m/>
    <n v="0"/>
    <n v="4587817"/>
  </r>
  <r>
    <x v="79"/>
    <s v="suraya"/>
    <s v="prise de poids/the minceur"/>
    <x v="24"/>
    <m/>
    <m/>
    <m/>
    <m/>
    <m/>
    <n v="0"/>
    <n v="3330821"/>
  </r>
  <r>
    <x v="79"/>
    <s v="MARİAME"/>
    <m/>
    <x v="28"/>
    <n v="1"/>
    <m/>
    <n v="0.05"/>
    <m/>
    <m/>
    <n v="0"/>
    <m/>
  </r>
  <r>
    <x v="79"/>
    <s v="kalathoume"/>
    <m/>
    <x v="30"/>
    <n v="3"/>
    <m/>
    <n v="0.18"/>
    <m/>
    <m/>
    <n v="0"/>
    <m/>
  </r>
  <r>
    <x v="79"/>
    <s v="takwim"/>
    <m/>
    <x v="1"/>
    <m/>
    <m/>
    <m/>
    <m/>
    <m/>
    <n v="0"/>
    <m/>
  </r>
  <r>
    <x v="80"/>
    <s v="Boutique de Soin"/>
    <s v="jel orange"/>
    <x v="0"/>
    <n v="72"/>
    <n v="1"/>
    <n v="2.36"/>
    <n v="12500"/>
    <n v="2500"/>
    <n v="1.3888888888888888E-2"/>
    <n v="4316190"/>
  </r>
  <r>
    <x v="80"/>
    <s v="Ben Store"/>
    <s v="prise de poids/savon de riz"/>
    <x v="3"/>
    <n v="54"/>
    <m/>
    <n v="2.48"/>
    <m/>
    <m/>
    <n v="0"/>
    <n v="4554529"/>
  </r>
  <r>
    <x v="80"/>
    <s v="Thamarati"/>
    <s v="glorysmile"/>
    <x v="9"/>
    <n v="22"/>
    <m/>
    <n v="1.33"/>
    <m/>
    <m/>
    <n v="0"/>
    <n v="4348553"/>
  </r>
  <r>
    <x v="80"/>
    <s v="Mufti"/>
    <s v="prise de poids/attote"/>
    <x v="8"/>
    <n v="42"/>
    <n v="3"/>
    <n v="2.78"/>
    <n v="35000"/>
    <n v="6500"/>
    <n v="7.1428571428571425E-2"/>
    <n v="4586158"/>
  </r>
  <r>
    <x v="80"/>
    <s v="Hadidja"/>
    <s v="parfum de bouche"/>
    <x v="12"/>
    <m/>
    <m/>
    <m/>
    <m/>
    <m/>
    <n v="0"/>
    <n v="4561858"/>
  </r>
  <r>
    <x v="80"/>
    <s v="lutfia"/>
    <s v="glorysmile/savon au riz"/>
    <x v="15"/>
    <m/>
    <m/>
    <m/>
    <m/>
    <m/>
    <n v="0"/>
    <n v="4221767"/>
  </r>
  <r>
    <x v="80"/>
    <s v="fayrati"/>
    <s v="huile/glorysmile/savon au riz"/>
    <x v="18"/>
    <m/>
    <m/>
    <m/>
    <m/>
    <m/>
    <n v="0"/>
    <n v="4463888"/>
  </r>
  <r>
    <x v="80"/>
    <s v="riwad"/>
    <s v="poudre de poids/savon au riz"/>
    <x v="19"/>
    <m/>
    <m/>
    <m/>
    <m/>
    <m/>
    <n v="0"/>
    <n v="4559847"/>
  </r>
  <r>
    <x v="80"/>
    <s v="lutfat"/>
    <s v="jel orange/prise de poids"/>
    <x v="21"/>
    <n v="50"/>
    <n v="3"/>
    <n v="3"/>
    <n v="37500"/>
    <n v="7500"/>
    <n v="0.06"/>
    <n v="4636772"/>
  </r>
  <r>
    <x v="80"/>
    <s v="hamida"/>
    <s v="savon au riz/prise de poids"/>
    <x v="22"/>
    <m/>
    <m/>
    <m/>
    <m/>
    <m/>
    <n v="0"/>
    <n v="3947053"/>
  </r>
  <r>
    <x v="80"/>
    <s v="nayla"/>
    <s v="jel orange /savon orange"/>
    <x v="23"/>
    <n v="11"/>
    <m/>
    <n v="0.56999999999999995"/>
    <m/>
    <m/>
    <n v="0"/>
    <n v="4587817"/>
  </r>
  <r>
    <x v="80"/>
    <s v="suraya"/>
    <s v="prise de poids/the minceur"/>
    <x v="24"/>
    <m/>
    <m/>
    <m/>
    <m/>
    <m/>
    <n v="0"/>
    <n v="3330821"/>
  </r>
  <r>
    <x v="80"/>
    <s v="MARİAME"/>
    <m/>
    <x v="28"/>
    <n v="30"/>
    <m/>
    <n v="1.18"/>
    <m/>
    <m/>
    <n v="0"/>
    <m/>
  </r>
  <r>
    <x v="80"/>
    <s v="kalathoume"/>
    <m/>
    <x v="30"/>
    <n v="34"/>
    <n v="6"/>
    <n v="1.58"/>
    <n v="65000"/>
    <n v="12500"/>
    <n v="0.17647058823529413"/>
    <m/>
  </r>
  <r>
    <x v="80"/>
    <s v="rachida"/>
    <m/>
    <x v="31"/>
    <n v="16"/>
    <m/>
    <n v="1.47"/>
    <m/>
    <m/>
    <n v="0"/>
    <m/>
  </r>
  <r>
    <x v="81"/>
    <s v="Boutique de Soin"/>
    <s v="jel orange"/>
    <x v="0"/>
    <n v="30"/>
    <n v="3"/>
    <n v="3.6"/>
    <n v="24000"/>
    <n v="4000"/>
    <n v="0.1"/>
    <n v="4316190"/>
  </r>
  <r>
    <x v="81"/>
    <s v="Ben Store"/>
    <s v="prise de poids/savon de riz"/>
    <x v="3"/>
    <n v="27"/>
    <n v="2"/>
    <n v="2.33"/>
    <n v="14000"/>
    <n v="2500"/>
    <n v="7.407407407407407E-2"/>
    <n v="4554529"/>
  </r>
  <r>
    <x v="81"/>
    <s v="Thamarati"/>
    <s v="glorysmile"/>
    <x v="9"/>
    <n v="15"/>
    <n v="1"/>
    <n v="2.38"/>
    <n v="5000"/>
    <n v="1000"/>
    <n v="6.6666666666666666E-2"/>
    <n v="4348553"/>
  </r>
  <r>
    <x v="81"/>
    <s v="Mufti"/>
    <s v="prise de poids/attote"/>
    <x v="8"/>
    <n v="8"/>
    <m/>
    <n v="1.75"/>
    <m/>
    <m/>
    <n v="0"/>
    <n v="4586158"/>
  </r>
  <r>
    <x v="81"/>
    <s v="Hadidja"/>
    <s v="parfum de bouche"/>
    <x v="12"/>
    <m/>
    <n v="1"/>
    <m/>
    <n v="7500"/>
    <n v="1500"/>
    <n v="0"/>
    <n v="4561858"/>
  </r>
  <r>
    <x v="81"/>
    <s v="lutfia"/>
    <s v="glorysmile/savon au riz"/>
    <x v="15"/>
    <m/>
    <m/>
    <m/>
    <m/>
    <m/>
    <n v="0"/>
    <n v="4221767"/>
  </r>
  <r>
    <x v="81"/>
    <s v="fayrati"/>
    <s v="huile/glorysmile/savon au riz"/>
    <x v="18"/>
    <m/>
    <m/>
    <m/>
    <m/>
    <m/>
    <n v="0"/>
    <n v="4463888"/>
  </r>
  <r>
    <x v="81"/>
    <s v="amine"/>
    <s v="poudre de poids/savon au riz"/>
    <x v="32"/>
    <n v="10"/>
    <m/>
    <n v="0.75"/>
    <m/>
    <m/>
    <n v="0"/>
    <n v="4559847"/>
  </r>
  <r>
    <x v="81"/>
    <s v="lutfat"/>
    <s v="jel orange/prise de poids"/>
    <x v="21"/>
    <n v="40"/>
    <n v="4"/>
    <n v="2.62"/>
    <n v="30500"/>
    <n v="7000"/>
    <n v="0.1"/>
    <n v="4636772"/>
  </r>
  <r>
    <x v="81"/>
    <s v="hamida"/>
    <s v="savon au riz/prise de poids"/>
    <x v="22"/>
    <m/>
    <m/>
    <m/>
    <m/>
    <m/>
    <n v="0"/>
    <n v="3947053"/>
  </r>
  <r>
    <x v="81"/>
    <s v="nayla"/>
    <s v="jel orange /savon orange"/>
    <x v="23"/>
    <n v="50"/>
    <n v="1"/>
    <n v="2.88"/>
    <n v="17500"/>
    <n v="2500"/>
    <n v="0.02"/>
    <n v="4587817"/>
  </r>
  <r>
    <x v="81"/>
    <s v="suraya"/>
    <s v="prise de poids/the minceur"/>
    <x v="24"/>
    <m/>
    <m/>
    <m/>
    <m/>
    <m/>
    <n v="0"/>
    <n v="3330821"/>
  </r>
  <r>
    <x v="81"/>
    <s v="MARİAME"/>
    <m/>
    <x v="28"/>
    <n v="3"/>
    <m/>
    <n v="0.09"/>
    <m/>
    <m/>
    <n v="0"/>
    <m/>
  </r>
  <r>
    <x v="81"/>
    <s v="kalathoume"/>
    <m/>
    <x v="30"/>
    <n v="46"/>
    <n v="1"/>
    <n v="2.2200000000000002"/>
    <n v="12500"/>
    <n v="2500"/>
    <n v="2.1739130434782608E-2"/>
    <m/>
  </r>
  <r>
    <x v="81"/>
    <s v="rachida"/>
    <m/>
    <x v="31"/>
    <n v="20"/>
    <m/>
    <n v="2.11"/>
    <m/>
    <m/>
    <n v="0"/>
    <m/>
  </r>
  <r>
    <x v="82"/>
    <s v="Boutique de Soin"/>
    <s v="jel orange"/>
    <x v="0"/>
    <m/>
    <m/>
    <m/>
    <m/>
    <m/>
    <n v="0"/>
    <n v="4316190"/>
  </r>
  <r>
    <x v="82"/>
    <s v="Ben Store"/>
    <s v="prise de poids/savon de riz"/>
    <x v="3"/>
    <m/>
    <m/>
    <m/>
    <m/>
    <m/>
    <n v="0"/>
    <n v="4554529"/>
  </r>
  <r>
    <x v="82"/>
    <s v="Thamarati"/>
    <s v="glorysmile"/>
    <x v="9"/>
    <m/>
    <m/>
    <m/>
    <m/>
    <m/>
    <n v="0"/>
    <n v="4348553"/>
  </r>
  <r>
    <x v="82"/>
    <s v="Mufti"/>
    <s v="prise de poids/attote"/>
    <x v="8"/>
    <m/>
    <m/>
    <m/>
    <m/>
    <m/>
    <n v="0"/>
    <n v="4586158"/>
  </r>
  <r>
    <x v="82"/>
    <s v="Hadidja"/>
    <s v="parfum de bouche"/>
    <x v="12"/>
    <m/>
    <m/>
    <m/>
    <m/>
    <m/>
    <n v="0"/>
    <n v="4561858"/>
  </r>
  <r>
    <x v="82"/>
    <s v="lutfia"/>
    <s v="glorysmile/savon au riz"/>
    <x v="15"/>
    <m/>
    <m/>
    <m/>
    <m/>
    <m/>
    <n v="0"/>
    <n v="4221767"/>
  </r>
  <r>
    <x v="82"/>
    <s v="fayrati"/>
    <s v="huile/glorysmile/savon au riz"/>
    <x v="18"/>
    <m/>
    <m/>
    <m/>
    <m/>
    <m/>
    <n v="0"/>
    <n v="4463888"/>
  </r>
  <r>
    <x v="82"/>
    <s v="riwad"/>
    <s v="poudre de poids/savon au riz"/>
    <x v="19"/>
    <m/>
    <m/>
    <m/>
    <m/>
    <m/>
    <n v="0"/>
    <n v="4559847"/>
  </r>
  <r>
    <x v="82"/>
    <s v="lutfat"/>
    <s v="jel orange/prise de poids"/>
    <x v="21"/>
    <m/>
    <m/>
    <m/>
    <m/>
    <m/>
    <n v="0"/>
    <n v="4636772"/>
  </r>
  <r>
    <x v="82"/>
    <s v="hamida"/>
    <s v="savon au riz/prise de poids"/>
    <x v="22"/>
    <m/>
    <m/>
    <m/>
    <m/>
    <m/>
    <n v="0"/>
    <n v="3947053"/>
  </r>
  <r>
    <x v="82"/>
    <s v="nayla"/>
    <s v="jel orange /savon orange"/>
    <x v="23"/>
    <m/>
    <m/>
    <m/>
    <m/>
    <m/>
    <n v="0"/>
    <n v="4587817"/>
  </r>
  <r>
    <x v="82"/>
    <s v="suraya"/>
    <s v="prise de poids/the minceur"/>
    <x v="24"/>
    <m/>
    <m/>
    <m/>
    <m/>
    <m/>
    <n v="0"/>
    <n v="3330821"/>
  </r>
  <r>
    <x v="82"/>
    <s v="MARİAME"/>
    <m/>
    <x v="28"/>
    <m/>
    <m/>
    <m/>
    <m/>
    <m/>
    <n v="0"/>
    <m/>
  </r>
  <r>
    <x v="82"/>
    <s v="kalathoume"/>
    <m/>
    <x v="30"/>
    <m/>
    <m/>
    <m/>
    <m/>
    <m/>
    <n v="0"/>
    <m/>
  </r>
  <r>
    <x v="82"/>
    <s v="rachida"/>
    <m/>
    <x v="31"/>
    <m/>
    <m/>
    <m/>
    <m/>
    <m/>
    <n v="0"/>
    <m/>
  </r>
  <r>
    <x v="83"/>
    <s v="Boutique de Soin"/>
    <s v="jel orange"/>
    <x v="0"/>
    <m/>
    <m/>
    <m/>
    <m/>
    <m/>
    <n v="0"/>
    <n v="4316190"/>
  </r>
  <r>
    <x v="83"/>
    <s v="Ben Store"/>
    <s v="prise de poids/savon de riz"/>
    <x v="3"/>
    <m/>
    <m/>
    <m/>
    <m/>
    <m/>
    <n v="0"/>
    <n v="4554529"/>
  </r>
  <r>
    <x v="83"/>
    <s v="Thamarati"/>
    <s v="glorysmile"/>
    <x v="9"/>
    <m/>
    <m/>
    <m/>
    <m/>
    <m/>
    <n v="0"/>
    <n v="4348553"/>
  </r>
  <r>
    <x v="83"/>
    <s v="Mufti"/>
    <s v="prise de poids/attote"/>
    <x v="8"/>
    <m/>
    <m/>
    <m/>
    <m/>
    <m/>
    <n v="0"/>
    <n v="4586158"/>
  </r>
  <r>
    <x v="83"/>
    <s v="Hadidja"/>
    <s v="parfum de bouche"/>
    <x v="12"/>
    <m/>
    <m/>
    <m/>
    <m/>
    <m/>
    <n v="0"/>
    <n v="4561858"/>
  </r>
  <r>
    <x v="83"/>
    <s v="lutfia"/>
    <s v="glorysmile/savon au riz"/>
    <x v="15"/>
    <m/>
    <m/>
    <m/>
    <m/>
    <m/>
    <n v="0"/>
    <n v="4221767"/>
  </r>
  <r>
    <x v="83"/>
    <s v="fayrati"/>
    <s v="huile/glorysmile/savon au riz"/>
    <x v="18"/>
    <m/>
    <m/>
    <m/>
    <m/>
    <m/>
    <n v="0"/>
    <n v="4463888"/>
  </r>
  <r>
    <x v="83"/>
    <s v="riwad"/>
    <s v="poudre de poids/savon au riz"/>
    <x v="19"/>
    <m/>
    <m/>
    <m/>
    <m/>
    <m/>
    <n v="0"/>
    <n v="4559847"/>
  </r>
  <r>
    <x v="83"/>
    <s v="lutfat"/>
    <s v="jel orange/prise de poids"/>
    <x v="21"/>
    <m/>
    <m/>
    <m/>
    <m/>
    <m/>
    <n v="0"/>
    <n v="4636772"/>
  </r>
  <r>
    <x v="83"/>
    <s v="hamida"/>
    <s v="savon au riz/prise de poids"/>
    <x v="22"/>
    <m/>
    <m/>
    <m/>
    <m/>
    <m/>
    <n v="0"/>
    <n v="3947053"/>
  </r>
  <r>
    <x v="83"/>
    <s v="nayla"/>
    <s v="jel orange /savon orange"/>
    <x v="23"/>
    <m/>
    <m/>
    <m/>
    <m/>
    <m/>
    <n v="0"/>
    <n v="4587817"/>
  </r>
  <r>
    <x v="83"/>
    <s v="suraya"/>
    <s v="prise de poids/the minceur"/>
    <x v="24"/>
    <m/>
    <m/>
    <m/>
    <m/>
    <m/>
    <n v="0"/>
    <n v="3330821"/>
  </r>
  <r>
    <x v="83"/>
    <s v="MARİAME"/>
    <m/>
    <x v="28"/>
    <m/>
    <m/>
    <m/>
    <m/>
    <m/>
    <n v="0"/>
    <m/>
  </r>
  <r>
    <x v="83"/>
    <s v="kalathoume"/>
    <m/>
    <x v="30"/>
    <m/>
    <m/>
    <m/>
    <m/>
    <m/>
    <n v="0"/>
    <m/>
  </r>
  <r>
    <x v="83"/>
    <s v="rachida"/>
    <m/>
    <x v="31"/>
    <m/>
    <m/>
    <m/>
    <m/>
    <m/>
    <n v="0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B0A7C00-F508-4BB7-BE84-EF4FF47DFB43}" name="Tableau croisé dynamique1" cacheId="22" applyNumberFormats="0" applyBorderFormats="0" applyFontFormats="0" applyPatternFormats="0" applyAlignmentFormats="0" applyWidthHeightFormats="1" dataCaption="Valeurs" updatedVersion="8" minRefreshableVersion="3" itemPrintTitles="1" createdVersion="8" indent="0" outline="1" outlineData="1" multipleFieldFilters="0" chartFormat="4">
  <location ref="A4:F15" firstHeaderRow="0" firstDataRow="1" firstDataCol="1" rowPageCount="1" colPageCount="1"/>
  <pivotFields count="13">
    <pivotField axis="axisPage" multipleItemSelectionAllowed="1" showAll="0">
      <items count="85">
        <item h="1" x="4"/>
        <item h="1" x="0"/>
        <item h="1" x="1"/>
        <item h="1" x="2"/>
        <item h="1" x="3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33"/>
        <item h="1" x="34"/>
        <item h="1" x="35"/>
        <item h="1" x="36"/>
        <item h="1" x="37"/>
        <item h="1" x="38"/>
        <item h="1" x="39"/>
        <item h="1" x="40"/>
        <item h="1" x="41"/>
        <item h="1" x="42"/>
        <item h="1" x="43"/>
        <item h="1" x="44"/>
        <item h="1" x="45"/>
        <item h="1" x="46"/>
        <item h="1" x="47"/>
        <item h="1" x="48"/>
        <item h="1" x="49"/>
        <item h="1" x="50"/>
        <item h="1" x="51"/>
        <item h="1" x="52"/>
        <item h="1" x="53"/>
        <item h="1" x="54"/>
        <item h="1" x="55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x="78"/>
        <item x="79"/>
        <item x="80"/>
        <item x="81"/>
        <item x="82"/>
        <item x="83"/>
        <item t="default"/>
      </items>
    </pivotField>
    <pivotField showAll="0"/>
    <pivotField showAll="0"/>
    <pivotField axis="axisRow" showAll="0">
      <items count="36">
        <item h="1" x="6"/>
        <item h="1" x="20"/>
        <item x="3"/>
        <item h="1" x="25"/>
        <item h="1" x="16"/>
        <item h="1" x="12"/>
        <item h="1" x="22"/>
        <item h="1" x="5"/>
        <item h="1" m="1" x="33"/>
        <item h="1" x="15"/>
        <item h="1" m="1" x="34"/>
        <item h="1" x="17"/>
        <item x="8"/>
        <item h="1" x="7"/>
        <item h="1" x="10"/>
        <item x="23"/>
        <item h="1" x="27"/>
        <item h="1" x="2"/>
        <item h="1" x="14"/>
        <item h="1" x="13"/>
        <item h="1" x="4"/>
        <item h="1" x="19"/>
        <item h="1" x="24"/>
        <item x="0"/>
        <item h="1" x="1"/>
        <item x="9"/>
        <item h="1" x="11"/>
        <item h="1" x="26"/>
        <item h="1" x="18"/>
        <item x="21"/>
        <item x="28"/>
        <item h="1" x="29"/>
        <item x="31"/>
        <item x="32"/>
        <item x="30"/>
        <item t="default"/>
      </items>
    </pivotField>
    <pivotField dataField="1" showAll="0"/>
    <pivotField dataField="1" showAll="0"/>
    <pivotField dataField="1" showAll="0"/>
    <pivotField dataField="1" showAll="0"/>
    <pivotField showAll="0"/>
    <pivotField showAll="0"/>
    <pivotField showAll="0"/>
    <pivotField dragToRow="0" dragToCol="0" dragToPage="0" showAll="0" defaultSubtotal="0"/>
    <pivotField dataField="1" dragToRow="0" dragToCol="0" dragToPage="0" showAll="0" defaultSubtotal="0"/>
  </pivotFields>
  <rowFields count="1">
    <field x="3"/>
  </rowFields>
  <rowItems count="11">
    <i>
      <x v="2"/>
    </i>
    <i>
      <x v="12"/>
    </i>
    <i>
      <x v="15"/>
    </i>
    <i>
      <x v="23"/>
    </i>
    <i>
      <x v="25"/>
    </i>
    <i>
      <x v="29"/>
    </i>
    <i>
      <x v="30"/>
    </i>
    <i>
      <x v="32"/>
    </i>
    <i>
      <x v="33"/>
    </i>
    <i>
      <x v="34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pageFields count="1">
    <pageField fld="0" hier="-1"/>
  </pageFields>
  <dataFields count="5">
    <dataField name="Somme de prospet" fld="4" baseField="3" baseItem="29"/>
    <dataField name="Somme de Depence" fld="6" baseField="0" baseItem="0" numFmtId="164"/>
    <dataField name="Somme de chiffre d affaire" fld="7" baseField="3" baseItem="23"/>
    <dataField name="Somme de Ventes" fld="5" baseField="3" baseItem="34"/>
    <dataField name=" TAUX DE COMVERSİON" fld="12" baseField="3" baseItem="27"/>
  </dataFields>
  <formats count="8">
    <format dxfId="24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3">
      <pivotArea outline="0" fieldPosition="0">
        <references count="1">
          <reference field="4294967294" count="1">
            <x v="0"/>
          </reference>
        </references>
      </pivotArea>
    </format>
    <format dxfId="22">
      <pivotArea collapsedLevelsAreSubtotals="1" fieldPosition="0">
        <references count="2">
          <reference field="4294967294" count="1" selected="0">
            <x v="4"/>
          </reference>
          <reference field="3" count="1">
            <x v="15"/>
          </reference>
        </references>
      </pivotArea>
    </format>
    <format dxfId="21">
      <pivotArea collapsedLevelsAreSubtotals="1" fieldPosition="0">
        <references count="2">
          <reference field="4294967294" count="1" selected="0">
            <x v="4"/>
          </reference>
          <reference field="3" count="16">
            <x v="1"/>
            <x v="2"/>
            <x v="5"/>
            <x v="6"/>
            <x v="9"/>
            <x v="11"/>
            <x v="12"/>
            <x v="16"/>
            <x v="18"/>
            <x v="21"/>
            <x v="22"/>
            <x v="23"/>
            <x v="25"/>
            <x v="27"/>
            <x v="28"/>
            <x v="29"/>
          </reference>
        </references>
      </pivotArea>
    </format>
    <format dxfId="20">
      <pivotArea field="3" grandRow="1" outline="0" collapsedLevelsAreSubtotals="1" axis="axisRow" fieldPosition="0">
        <references count="1">
          <reference field="4294967294" count="1" selected="0">
            <x v="4"/>
          </reference>
        </references>
      </pivotArea>
    </format>
    <format dxfId="19">
      <pivotArea collapsedLevelsAreSubtotals="1" fieldPosition="0">
        <references count="2">
          <reference field="4294967294" count="1" selected="0">
            <x v="4"/>
          </reference>
          <reference field="3" count="1">
            <x v="31"/>
          </reference>
        </references>
      </pivotArea>
    </format>
    <format dxfId="18">
      <pivotArea collapsedLevelsAreSubtotals="1" fieldPosition="0">
        <references count="2">
          <reference field="4294967294" count="1" selected="0">
            <x v="4"/>
          </reference>
          <reference field="3" count="1">
            <x v="30"/>
          </reference>
        </references>
      </pivotArea>
    </format>
    <format dxfId="1">
      <pivotArea collapsedLevelsAreSubtotals="1" fieldPosition="0">
        <references count="2">
          <reference field="4294967294" count="1" selected="0">
            <x v="4"/>
          </reference>
          <reference field="3" count="1">
            <x v="3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896E66E-87A5-4119-8496-7E3C0A1016DA}" name="Tableau croisé dynamique2" cacheId="1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>
  <location ref="A3:D14" firstHeaderRow="0" firstDataRow="1" firstDataCol="1"/>
  <pivotFields count="9">
    <pivotField numFmtId="14" showAll="0"/>
    <pivotField axis="axisRow" showAll="0">
      <items count="11">
        <item x="6"/>
        <item x="2"/>
        <item x="8"/>
        <item x="4"/>
        <item x="5"/>
        <item x="0"/>
        <item x="1"/>
        <item x="7"/>
        <item x="3"/>
        <item x="9"/>
        <item t="default"/>
      </items>
    </pivotField>
    <pivotField showAll="0"/>
    <pivotField dataField="1" showAll="0"/>
    <pivotField showAll="0"/>
    <pivotField dataField="1" showAll="0"/>
    <pivotField showAll="0"/>
    <pivotField showAll="0"/>
    <pivotField dataField="1" showAll="0"/>
  </pivotFields>
  <rowFields count="1">
    <field x="1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omme de QT" fld="3" baseField="0" baseItem="0"/>
    <dataField name="Somme de MONTANT" fld="5" baseField="0" baseItem="0"/>
    <dataField name="Somme de MONTANT COMMİSSİON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_date" xr10:uid="{E5477313-3BAB-4A34-A159-EB9D212DB05E}" sourceName="date">
  <data>
    <tabular pivotCacheId="911074491">
      <items count="84">
        <i x="4"/>
        <i x="0"/>
        <i x="1"/>
        <i x="2"/>
        <i x="3"/>
        <i x="53"/>
        <i x="5"/>
        <i x="6"/>
        <i x="7"/>
        <i x="8"/>
        <i x="9"/>
        <i x="10"/>
        <i x="11"/>
        <i x="12"/>
        <i x="13"/>
        <i x="14"/>
        <i x="15"/>
        <i x="16"/>
        <i x="17"/>
        <i x="18"/>
        <i x="19"/>
        <i x="20"/>
        <i x="21"/>
        <i x="22"/>
        <i x="23"/>
        <i x="24"/>
        <i x="25"/>
        <i x="26"/>
        <i x="27"/>
        <i x="28"/>
        <i x="29"/>
        <i x="30"/>
        <i x="31"/>
        <i x="32"/>
        <i x="33"/>
        <i x="34"/>
        <i x="35"/>
        <i x="36"/>
        <i x="37"/>
        <i x="38"/>
        <i x="39"/>
        <i x="40" s="1"/>
        <i x="41"/>
        <i x="42"/>
        <i x="43"/>
        <i x="44"/>
        <i x="45"/>
        <i x="46"/>
        <i x="47"/>
        <i x="48"/>
        <i x="49"/>
        <i x="50"/>
        <i x="51"/>
        <i x="52"/>
        <i x="54"/>
        <i x="55"/>
        <i x="56"/>
        <i x="57"/>
        <i x="58"/>
        <i x="59"/>
        <i x="60"/>
        <i x="61"/>
        <i x="62"/>
        <i x="63"/>
        <i x="64"/>
        <i x="65"/>
        <i x="66"/>
        <i x="67"/>
        <i x="68"/>
        <i x="69"/>
        <i x="70"/>
        <i x="71"/>
        <i x="72"/>
        <i x="73"/>
        <i x="74"/>
        <i x="75"/>
        <i x="76"/>
        <i x="77"/>
        <i x="78"/>
        <i x="79"/>
        <i x="80"/>
        <i x="81"/>
        <i x="82"/>
        <i x="83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_Agent" xr10:uid="{7E735569-8553-40CD-B3F8-6047BE488443}" sourceName="Agent">
  <data>
    <tabular pivotCacheId="911074491">
      <items count="35">
        <i x="32"/>
        <i x="6"/>
        <i x="20" s="1"/>
        <i x="3" s="1"/>
        <i x="25" s="1"/>
        <i x="18" s="1"/>
        <i x="16" s="1"/>
        <i x="12" s="1"/>
        <i x="22" s="1"/>
        <i x="5" s="1"/>
        <i x="29"/>
        <i x="30"/>
        <i x="21" s="1"/>
        <i x="33"/>
        <i x="15" s="1"/>
        <i x="34"/>
        <i x="26" s="1"/>
        <i x="17" s="1"/>
        <i x="28"/>
        <i x="8" s="1"/>
        <i x="7" s="1"/>
        <i x="10"/>
        <i x="23" s="1"/>
        <i x="27" s="1"/>
        <i x="31"/>
        <i x="2"/>
        <i x="14" s="1"/>
        <i x="13"/>
        <i x="4"/>
        <i x="19" s="1"/>
        <i x="24" s="1"/>
        <i x="0" s="1"/>
        <i x="1"/>
        <i x="9" s="1"/>
        <i x="1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date" xr10:uid="{597EEF78-ABA8-4676-877B-25B545003F73}" cache="Segment_date" caption="date" startItem="40" rowHeight="247650"/>
  <slicer name="Agent" xr10:uid="{B9F54837-8189-433C-9827-4ACFE2B67BDF}" cache="Segment_Agent" caption="Agent" startItem="18" rowHeight="24765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5F58444-06E8-4436-94F3-07AC8721CA7E}" name="Tableau3" displayName="Tableau3" ref="A1:K1369" totalsRowShown="0" headerRowDxfId="29" headerRowBorderDxfId="28" tableBorderDxfId="27" dataCellStyle="Normal">
  <autoFilter ref="A1:K1369" xr:uid="{B5F58444-06E8-4436-94F3-07AC8721CA7E}">
    <filterColumn colId="0">
      <filters>
        <dateGroupItem year="2026" month="7" dateTimeGrouping="month"/>
      </filters>
    </filterColumn>
  </autoFilter>
  <tableColumns count="11">
    <tableColumn id="1" xr3:uid="{CE038F32-AFAD-45C8-A147-9CFEC65C44C5}" name="date" dataDxfId="26" dataCellStyle="Normal"/>
    <tableColumn id="2" xr3:uid="{8FBB7BE3-C8E5-4BC5-94D6-59792E1D3CA3}" name="nom de la page" dataCellStyle="Normal"/>
    <tableColumn id="3" xr3:uid="{924627C7-B550-4B02-AC2E-D6480AE54846}" name="campagne" dataCellStyle="Normal"/>
    <tableColumn id="4" xr3:uid="{0F8493B9-C9BF-4195-B3E7-17A5DECC429D}" name="Agent" dataCellStyle="Normal"/>
    <tableColumn id="5" xr3:uid="{80EF3DE4-42FC-40E5-AFCD-5105D988EC96}" name="prospet" dataCellStyle="Normal"/>
    <tableColumn id="6" xr3:uid="{5BF76309-CE2B-42C2-B06F-23DBADF808BB}" name="Ventes" dataCellStyle="Normal"/>
    <tableColumn id="7" xr3:uid="{83E1B57A-4CF0-4128-BF2E-D5ECC324609E}" name="Depence" dataDxfId="25" dataCellStyle="Normal"/>
    <tableColumn id="8" xr3:uid="{F4F475D0-366D-4261-86D0-6C31777EF3CC}" name="chiffre d affaire" dataCellStyle="Normal"/>
    <tableColumn id="9" xr3:uid="{52C717B9-0075-48F6-A515-5D54458356F8}" name="commission" dataCellStyle="Normal"/>
    <tableColumn id="10" xr3:uid="{80173A72-2CB6-4087-93F7-9818F87CF661}" name="TC" dataCellStyle="Pourcentage">
      <calculatedColumnFormula>F2/E2*100</calculatedColumnFormula>
    </tableColumn>
    <tableColumn id="11" xr3:uid="{27732090-D5E7-4719-8AFC-7D6365C3F6F2}" name="Colonne1" dataCellStyle="Normal"/>
  </tableColumns>
  <tableStyleInfo name="TableStyleLight1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36AB229-EB9C-43C8-83AE-D7D9C486EC00}" name="Tableau1" displayName="Tableau1" ref="A1:I26" totalsRowShown="0" headerRowDxfId="17" dataDxfId="15" headerRowBorderDxfId="16" tableBorderDxfId="14">
  <autoFilter ref="A1:I26" xr:uid="{836AB229-EB9C-43C8-83AE-D7D9C486EC00}"/>
  <tableColumns count="9">
    <tableColumn id="1" xr3:uid="{3355FA10-D5EB-46F9-A184-3ACC187D8908}" name="DATE" dataDxfId="13"/>
    <tableColumn id="2" xr3:uid="{888DD29A-FEFC-4890-BA22-D873CF8052C3}" name="NOME VEDEURES" dataDxfId="12"/>
    <tableColumn id="3" xr3:uid="{FEA3B4EE-46E9-43EB-BE28-D84A56A89F0E}" name="PRODUIT" dataDxfId="11"/>
    <tableColumn id="4" xr3:uid="{9BCA9827-BC7F-468F-9B5E-F8F00025A113}" name="QT" dataDxfId="10"/>
    <tableColumn id="5" xr3:uid="{0335E958-34C8-4FC0-87CE-7BE308B7BCF7}" name="PRIX" dataDxfId="9"/>
    <tableColumn id="6" xr3:uid="{A9FB0C37-EE1F-402C-9910-9CB86B58CABF}" name="MONTANT" dataDxfId="8">
      <calculatedColumnFormula>SUM(E2*D2)</calculatedColumnFormula>
    </tableColumn>
    <tableColumn id="7" xr3:uid="{AB67BC03-30BE-4967-B877-190A080BCD3F}" name="MVOLA" dataDxfId="7"/>
    <tableColumn id="8" xr3:uid="{7D1AFBCB-BB5A-4E06-82D9-15C871AF58A9}" name="PRIX COM" dataDxfId="6"/>
    <tableColumn id="9" xr3:uid="{0AC81923-D196-47AA-80EE-9C0BC7C22D7D}" name="MONTANT COMMİSSİON" dataDxfId="5">
      <calculatedColumnFormula>SUM(H2*D2)</calculatedColumnFormula>
    </tableColumn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DAC1AD-5693-44B3-9D39-6A232F130407}">
  <dimension ref="A1:M1369"/>
  <sheetViews>
    <sheetView workbookViewId="0">
      <pane ySplit="277" topLeftCell="A1294" activePane="bottomLeft" state="frozen"/>
      <selection pane="bottomLeft" activeCell="E1299" sqref="E1299"/>
    </sheetView>
  </sheetViews>
  <sheetFormatPr baseColWidth="10" defaultRowHeight="14.4" x14ac:dyDescent="0.3"/>
  <cols>
    <col min="1" max="1" width="22.77734375" style="1" bestFit="1" customWidth="1"/>
    <col min="2" max="2" width="15.21875" customWidth="1"/>
    <col min="3" max="3" width="24.21875" bestFit="1" customWidth="1"/>
    <col min="4" max="4" width="9.44140625" bestFit="1" customWidth="1"/>
    <col min="6" max="6" width="12.109375" customWidth="1"/>
    <col min="7" max="7" width="11.5546875" style="2"/>
    <col min="8" max="8" width="15.33203125" customWidth="1"/>
    <col min="9" max="9" width="13.109375" customWidth="1"/>
    <col min="10" max="10" width="11.5546875" style="8"/>
    <col min="13" max="13" width="5.6640625" bestFit="1" customWidth="1"/>
  </cols>
  <sheetData>
    <row r="1" spans="1:11" x14ac:dyDescent="0.3">
      <c r="A1" s="5" t="s">
        <v>0</v>
      </c>
      <c r="B1" s="6" t="s">
        <v>4</v>
      </c>
      <c r="C1" s="6" t="s">
        <v>5</v>
      </c>
      <c r="D1" s="6" t="s">
        <v>2</v>
      </c>
      <c r="E1" s="6" t="s">
        <v>10</v>
      </c>
      <c r="F1" s="6" t="s">
        <v>153</v>
      </c>
      <c r="G1" s="9" t="s">
        <v>8</v>
      </c>
      <c r="H1" s="6" t="s">
        <v>58</v>
      </c>
      <c r="I1" s="6" t="s">
        <v>59</v>
      </c>
      <c r="J1" s="7" t="s">
        <v>67</v>
      </c>
      <c r="K1" s="6" t="s">
        <v>108</v>
      </c>
    </row>
    <row r="2" spans="1:11" hidden="1" x14ac:dyDescent="0.3">
      <c r="A2" s="1" t="s">
        <v>36</v>
      </c>
      <c r="B2" t="s">
        <v>16</v>
      </c>
      <c r="C2" t="s">
        <v>17</v>
      </c>
      <c r="D2" t="s">
        <v>18</v>
      </c>
      <c r="E2">
        <v>18</v>
      </c>
      <c r="F2">
        <v>1</v>
      </c>
      <c r="G2" s="2">
        <v>1.63</v>
      </c>
      <c r="J2" s="8">
        <f>Tableau3[[#This Row],[Ventes]]/Tableau3[[#This Row],[prospet]]</f>
        <v>5.5555555555555552E-2</v>
      </c>
    </row>
    <row r="3" spans="1:11" hidden="1" x14ac:dyDescent="0.3">
      <c r="A3" s="1" t="s">
        <v>36</v>
      </c>
      <c r="B3" t="s">
        <v>6</v>
      </c>
      <c r="C3" t="s">
        <v>17</v>
      </c>
      <c r="D3" t="s">
        <v>7</v>
      </c>
      <c r="E3">
        <v>12</v>
      </c>
      <c r="F3">
        <v>2</v>
      </c>
      <c r="G3" s="2">
        <v>1.7</v>
      </c>
      <c r="J3" s="8">
        <f>Tableau3[[#This Row],[Ventes]]/Tableau3[[#This Row],[prospet]]</f>
        <v>0.16666666666666666</v>
      </c>
    </row>
    <row r="4" spans="1:11" hidden="1" x14ac:dyDescent="0.3">
      <c r="A4" s="1" t="s">
        <v>36</v>
      </c>
      <c r="B4" t="s">
        <v>14</v>
      </c>
      <c r="C4" t="s">
        <v>19</v>
      </c>
      <c r="D4" t="s">
        <v>12</v>
      </c>
      <c r="E4">
        <v>10</v>
      </c>
      <c r="F4">
        <v>2</v>
      </c>
      <c r="G4" s="2">
        <v>1.8</v>
      </c>
      <c r="J4" s="8">
        <f>Tableau3[[#This Row],[Ventes]]/Tableau3[[#This Row],[prospet]]</f>
        <v>0.2</v>
      </c>
    </row>
    <row r="5" spans="1:11" hidden="1" x14ac:dyDescent="0.3">
      <c r="A5" s="1" t="s">
        <v>36</v>
      </c>
      <c r="B5" t="s">
        <v>9</v>
      </c>
      <c r="C5" t="s">
        <v>20</v>
      </c>
      <c r="D5" t="s">
        <v>13</v>
      </c>
      <c r="E5">
        <v>17</v>
      </c>
      <c r="F5">
        <v>2</v>
      </c>
      <c r="G5" s="2">
        <v>1.31</v>
      </c>
      <c r="J5" s="8">
        <f>Tableau3[[#This Row],[Ventes]]/Tableau3[[#This Row],[prospet]]</f>
        <v>0.11764705882352941</v>
      </c>
    </row>
    <row r="6" spans="1:11" hidden="1" x14ac:dyDescent="0.3">
      <c r="A6" s="1" t="s">
        <v>36</v>
      </c>
      <c r="B6" t="s">
        <v>28</v>
      </c>
      <c r="C6" t="s">
        <v>21</v>
      </c>
      <c r="D6" t="s">
        <v>15</v>
      </c>
      <c r="E6">
        <v>11</v>
      </c>
      <c r="F6">
        <v>2</v>
      </c>
      <c r="G6" s="2">
        <v>1.56</v>
      </c>
      <c r="J6" s="8">
        <f>Tableau3[[#This Row],[Ventes]]/Tableau3[[#This Row],[prospet]]</f>
        <v>0.18181818181818182</v>
      </c>
    </row>
    <row r="7" spans="1:11" hidden="1" x14ac:dyDescent="0.3">
      <c r="A7" s="1" t="s">
        <v>36</v>
      </c>
      <c r="B7" t="s">
        <v>33</v>
      </c>
      <c r="C7" t="s">
        <v>22</v>
      </c>
      <c r="D7" t="s">
        <v>33</v>
      </c>
      <c r="E7">
        <v>4</v>
      </c>
      <c r="F7" t="s">
        <v>23</v>
      </c>
      <c r="G7" s="2">
        <v>0.57999999999999996</v>
      </c>
      <c r="J7" s="8" t="e">
        <f>Tableau3[[#This Row],[Ventes]]/Tableau3[[#This Row],[prospet]]</f>
        <v>#VALUE!</v>
      </c>
    </row>
    <row r="8" spans="1:11" hidden="1" x14ac:dyDescent="0.3">
      <c r="A8" s="1" t="s">
        <v>36</v>
      </c>
      <c r="B8" t="s">
        <v>24</v>
      </c>
      <c r="C8" t="s">
        <v>25</v>
      </c>
      <c r="D8" t="s">
        <v>24</v>
      </c>
      <c r="E8">
        <v>13</v>
      </c>
      <c r="F8" t="s">
        <v>23</v>
      </c>
      <c r="G8" s="2">
        <v>1.36</v>
      </c>
      <c r="J8" s="8" t="e">
        <f>Tableau3[[#This Row],[Ventes]]/Tableau3[[#This Row],[prospet]]</f>
        <v>#VALUE!</v>
      </c>
    </row>
    <row r="9" spans="1:11" hidden="1" x14ac:dyDescent="0.3">
      <c r="A9" s="1" t="s">
        <v>36</v>
      </c>
      <c r="B9" t="s">
        <v>26</v>
      </c>
      <c r="C9" t="s">
        <v>27</v>
      </c>
      <c r="D9" t="s">
        <v>26</v>
      </c>
      <c r="E9">
        <v>22</v>
      </c>
      <c r="F9" t="s">
        <v>23</v>
      </c>
      <c r="G9" s="2">
        <v>2.87</v>
      </c>
      <c r="J9" s="8" t="e">
        <f>Tableau3[[#This Row],[Ventes]]/Tableau3[[#This Row],[prospet]]</f>
        <v>#VALUE!</v>
      </c>
    </row>
    <row r="10" spans="1:11" hidden="1" x14ac:dyDescent="0.3">
      <c r="A10" s="1" t="s">
        <v>37</v>
      </c>
      <c r="B10" t="s">
        <v>16</v>
      </c>
      <c r="C10" t="s">
        <v>17</v>
      </c>
      <c r="D10" t="s">
        <v>18</v>
      </c>
      <c r="E10">
        <v>18</v>
      </c>
      <c r="F10">
        <v>2</v>
      </c>
      <c r="G10" s="2">
        <v>1.63</v>
      </c>
      <c r="J10" s="8">
        <f>Tableau3[[#This Row],[Ventes]]/Tableau3[[#This Row],[prospet]]</f>
        <v>0.1111111111111111</v>
      </c>
    </row>
    <row r="11" spans="1:11" hidden="1" x14ac:dyDescent="0.3">
      <c r="A11" s="1" t="s">
        <v>37</v>
      </c>
      <c r="B11" t="s">
        <v>6</v>
      </c>
      <c r="C11" t="s">
        <v>17</v>
      </c>
      <c r="D11" t="s">
        <v>7</v>
      </c>
      <c r="E11">
        <v>23</v>
      </c>
      <c r="F11">
        <v>0</v>
      </c>
      <c r="G11" s="2">
        <v>2.5099999999999998</v>
      </c>
      <c r="J11" s="8">
        <f>Tableau3[[#This Row],[Ventes]]/Tableau3[[#This Row],[prospet]]</f>
        <v>0</v>
      </c>
    </row>
    <row r="12" spans="1:11" hidden="1" x14ac:dyDescent="0.3">
      <c r="A12" s="1" t="s">
        <v>37</v>
      </c>
      <c r="B12" t="s">
        <v>14</v>
      </c>
      <c r="C12" t="s">
        <v>19</v>
      </c>
      <c r="D12" t="s">
        <v>12</v>
      </c>
      <c r="E12">
        <v>12</v>
      </c>
      <c r="F12">
        <v>1</v>
      </c>
      <c r="G12" s="2">
        <v>1.47</v>
      </c>
      <c r="J12" s="8">
        <f>Tableau3[[#This Row],[Ventes]]/Tableau3[[#This Row],[prospet]]</f>
        <v>8.3333333333333329E-2</v>
      </c>
    </row>
    <row r="13" spans="1:11" hidden="1" x14ac:dyDescent="0.3">
      <c r="A13" s="1" t="s">
        <v>37</v>
      </c>
      <c r="B13" t="s">
        <v>9</v>
      </c>
      <c r="C13" t="s">
        <v>20</v>
      </c>
      <c r="D13" t="s">
        <v>13</v>
      </c>
      <c r="E13">
        <v>31</v>
      </c>
      <c r="F13">
        <v>1</v>
      </c>
      <c r="G13" s="2">
        <v>2.73</v>
      </c>
      <c r="J13" s="8">
        <f>Tableau3[[#This Row],[Ventes]]/Tableau3[[#This Row],[prospet]]</f>
        <v>3.2258064516129031E-2</v>
      </c>
    </row>
    <row r="14" spans="1:11" hidden="1" x14ac:dyDescent="0.3">
      <c r="A14" s="1" t="s">
        <v>37</v>
      </c>
      <c r="B14" t="s">
        <v>28</v>
      </c>
      <c r="C14" t="s">
        <v>21</v>
      </c>
      <c r="D14" t="s">
        <v>15</v>
      </c>
      <c r="E14">
        <v>21</v>
      </c>
      <c r="F14">
        <v>1</v>
      </c>
      <c r="G14" s="2">
        <v>2.87</v>
      </c>
      <c r="J14" s="8">
        <f>Tableau3[[#This Row],[Ventes]]/Tableau3[[#This Row],[prospet]]</f>
        <v>4.7619047619047616E-2</v>
      </c>
    </row>
    <row r="15" spans="1:11" hidden="1" x14ac:dyDescent="0.3">
      <c r="A15" s="1" t="s">
        <v>37</v>
      </c>
      <c r="B15" t="s">
        <v>24</v>
      </c>
      <c r="C15" t="s">
        <v>25</v>
      </c>
      <c r="D15" t="s">
        <v>24</v>
      </c>
      <c r="E15">
        <v>12</v>
      </c>
      <c r="F15" t="s">
        <v>23</v>
      </c>
      <c r="G15" s="2">
        <v>2.21</v>
      </c>
      <c r="J15" s="8" t="e">
        <f>Tableau3[[#This Row],[Ventes]]/Tableau3[[#This Row],[prospet]]</f>
        <v>#VALUE!</v>
      </c>
    </row>
    <row r="16" spans="1:11" hidden="1" x14ac:dyDescent="0.3">
      <c r="A16" s="1" t="s">
        <v>37</v>
      </c>
      <c r="B16" t="s">
        <v>26</v>
      </c>
      <c r="C16" t="s">
        <v>27</v>
      </c>
      <c r="D16" t="s">
        <v>26</v>
      </c>
      <c r="E16">
        <v>21</v>
      </c>
      <c r="F16" t="s">
        <v>23</v>
      </c>
      <c r="G16" s="2">
        <v>3.48</v>
      </c>
      <c r="J16" s="8" t="e">
        <f>Tableau3[[#This Row],[Ventes]]/Tableau3[[#This Row],[prospet]]</f>
        <v>#VALUE!</v>
      </c>
    </row>
    <row r="17" spans="1:10" hidden="1" x14ac:dyDescent="0.3">
      <c r="A17" s="1" t="s">
        <v>37</v>
      </c>
      <c r="B17" t="s">
        <v>42</v>
      </c>
      <c r="C17" t="s">
        <v>32</v>
      </c>
      <c r="D17" t="s">
        <v>33</v>
      </c>
      <c r="E17">
        <v>40</v>
      </c>
      <c r="F17">
        <v>0</v>
      </c>
      <c r="G17" s="2">
        <v>3.22</v>
      </c>
      <c r="J17" s="8">
        <f>Tableau3[[#This Row],[Ventes]]/Tableau3[[#This Row],[prospet]]</f>
        <v>0</v>
      </c>
    </row>
    <row r="18" spans="1:10" hidden="1" x14ac:dyDescent="0.3">
      <c r="A18" s="1" t="s">
        <v>38</v>
      </c>
      <c r="B18" t="s">
        <v>16</v>
      </c>
      <c r="C18" t="s">
        <v>17</v>
      </c>
      <c r="D18" t="s">
        <v>18</v>
      </c>
      <c r="E18">
        <v>24</v>
      </c>
      <c r="F18">
        <v>3</v>
      </c>
      <c r="G18" s="2">
        <v>3.03</v>
      </c>
      <c r="J18" s="8">
        <f>Tableau3[[#This Row],[Ventes]]/Tableau3[[#This Row],[prospet]]</f>
        <v>0.125</v>
      </c>
    </row>
    <row r="19" spans="1:10" hidden="1" x14ac:dyDescent="0.3">
      <c r="A19" s="1" t="s">
        <v>38</v>
      </c>
      <c r="B19" t="s">
        <v>6</v>
      </c>
      <c r="C19" t="s">
        <v>17</v>
      </c>
      <c r="D19" t="s">
        <v>7</v>
      </c>
      <c r="E19">
        <v>13</v>
      </c>
      <c r="F19">
        <v>1</v>
      </c>
      <c r="G19" s="2">
        <v>2.5299999999999998</v>
      </c>
      <c r="J19" s="8">
        <f>Tableau3[[#This Row],[Ventes]]/Tableau3[[#This Row],[prospet]]</f>
        <v>7.6923076923076927E-2</v>
      </c>
    </row>
    <row r="20" spans="1:10" hidden="1" x14ac:dyDescent="0.3">
      <c r="A20" s="1" t="s">
        <v>38</v>
      </c>
      <c r="B20" t="s">
        <v>14</v>
      </c>
      <c r="C20" t="s">
        <v>19</v>
      </c>
      <c r="D20" t="s">
        <v>12</v>
      </c>
      <c r="E20">
        <v>18</v>
      </c>
      <c r="F20">
        <v>0</v>
      </c>
      <c r="G20" s="2">
        <v>3.03</v>
      </c>
      <c r="J20" s="8">
        <f>Tableau3[[#This Row],[Ventes]]/Tableau3[[#This Row],[prospet]]</f>
        <v>0</v>
      </c>
    </row>
    <row r="21" spans="1:10" hidden="1" x14ac:dyDescent="0.3">
      <c r="A21" s="1" t="s">
        <v>38</v>
      </c>
      <c r="B21" t="s">
        <v>9</v>
      </c>
      <c r="C21" t="s">
        <v>20</v>
      </c>
      <c r="D21" t="s">
        <v>13</v>
      </c>
      <c r="E21">
        <v>28</v>
      </c>
      <c r="F21">
        <v>1</v>
      </c>
      <c r="G21" s="2">
        <v>2.4500000000000002</v>
      </c>
      <c r="J21" s="8">
        <f>Tableau3[[#This Row],[Ventes]]/Tableau3[[#This Row],[prospet]]</f>
        <v>3.5714285714285712E-2</v>
      </c>
    </row>
    <row r="22" spans="1:10" hidden="1" x14ac:dyDescent="0.3">
      <c r="A22" s="1" t="s">
        <v>38</v>
      </c>
      <c r="B22" t="s">
        <v>28</v>
      </c>
      <c r="C22" t="s">
        <v>21</v>
      </c>
      <c r="D22" t="s">
        <v>15</v>
      </c>
      <c r="E22">
        <v>62</v>
      </c>
      <c r="F22">
        <v>1</v>
      </c>
      <c r="G22" s="2">
        <v>4.66</v>
      </c>
      <c r="J22" s="8">
        <f>Tableau3[[#This Row],[Ventes]]/Tableau3[[#This Row],[prospet]]</f>
        <v>1.6129032258064516E-2</v>
      </c>
    </row>
    <row r="23" spans="1:10" hidden="1" x14ac:dyDescent="0.3">
      <c r="A23" s="1" t="s">
        <v>38</v>
      </c>
      <c r="B23" t="s">
        <v>33</v>
      </c>
      <c r="C23" t="s">
        <v>22</v>
      </c>
      <c r="D23" t="s">
        <v>33</v>
      </c>
      <c r="E23">
        <v>40</v>
      </c>
      <c r="F23" t="s">
        <v>29</v>
      </c>
      <c r="G23" s="2">
        <v>2.33</v>
      </c>
      <c r="J23" s="8" t="e">
        <f>Tableau3[[#This Row],[Ventes]]/Tableau3[[#This Row],[prospet]]</f>
        <v>#VALUE!</v>
      </c>
    </row>
    <row r="24" spans="1:10" hidden="1" x14ac:dyDescent="0.3">
      <c r="A24" s="1" t="s">
        <v>38</v>
      </c>
      <c r="B24" t="s">
        <v>24</v>
      </c>
      <c r="C24" t="s">
        <v>25</v>
      </c>
      <c r="D24" t="s">
        <v>24</v>
      </c>
      <c r="E24">
        <v>32</v>
      </c>
      <c r="F24" t="s">
        <v>29</v>
      </c>
      <c r="G24" s="2">
        <v>3.03</v>
      </c>
      <c r="J24" s="8" t="e">
        <f>Tableau3[[#This Row],[Ventes]]/Tableau3[[#This Row],[prospet]]</f>
        <v>#VALUE!</v>
      </c>
    </row>
    <row r="25" spans="1:10" hidden="1" x14ac:dyDescent="0.3">
      <c r="A25" s="1" t="s">
        <v>38</v>
      </c>
      <c r="B25" t="s">
        <v>26</v>
      </c>
      <c r="C25" t="s">
        <v>27</v>
      </c>
      <c r="D25" t="s">
        <v>26</v>
      </c>
      <c r="E25">
        <v>13</v>
      </c>
      <c r="F25" t="s">
        <v>29</v>
      </c>
      <c r="G25" s="2">
        <v>1.97</v>
      </c>
      <c r="J25" s="8" t="e">
        <f>Tableau3[[#This Row],[Ventes]]/Tableau3[[#This Row],[prospet]]</f>
        <v>#VALUE!</v>
      </c>
    </row>
    <row r="26" spans="1:10" hidden="1" x14ac:dyDescent="0.3">
      <c r="A26" s="1" t="s">
        <v>38</v>
      </c>
      <c r="B26" t="s">
        <v>30</v>
      </c>
      <c r="C26" t="s">
        <v>31</v>
      </c>
      <c r="D26" t="s">
        <v>30</v>
      </c>
      <c r="E26">
        <v>12</v>
      </c>
      <c r="F26" t="s">
        <v>29</v>
      </c>
      <c r="G26" s="2">
        <v>1.4</v>
      </c>
      <c r="J26" s="8" t="e">
        <f>Tableau3[[#This Row],[Ventes]]/Tableau3[[#This Row],[prospet]]</f>
        <v>#VALUE!</v>
      </c>
    </row>
    <row r="27" spans="1:10" hidden="1" x14ac:dyDescent="0.3">
      <c r="A27" s="1" t="s">
        <v>39</v>
      </c>
      <c r="B27" t="s">
        <v>16</v>
      </c>
      <c r="C27" t="s">
        <v>17</v>
      </c>
      <c r="D27" t="s">
        <v>18</v>
      </c>
      <c r="E27">
        <v>27</v>
      </c>
      <c r="F27">
        <v>2</v>
      </c>
      <c r="G27" s="2">
        <v>2.93</v>
      </c>
      <c r="J27" s="8">
        <f>Tableau3[[#This Row],[Ventes]]/Tableau3[[#This Row],[prospet]]</f>
        <v>7.407407407407407E-2</v>
      </c>
    </row>
    <row r="28" spans="1:10" hidden="1" x14ac:dyDescent="0.3">
      <c r="A28" s="1" t="s">
        <v>39</v>
      </c>
      <c r="B28" t="s">
        <v>6</v>
      </c>
      <c r="C28" t="s">
        <v>17</v>
      </c>
      <c r="D28" t="s">
        <v>7</v>
      </c>
      <c r="E28">
        <v>18</v>
      </c>
      <c r="F28">
        <v>0</v>
      </c>
      <c r="G28" s="2">
        <v>2.44</v>
      </c>
      <c r="J28" s="8">
        <f>Tableau3[[#This Row],[Ventes]]/Tableau3[[#This Row],[prospet]]</f>
        <v>0</v>
      </c>
    </row>
    <row r="29" spans="1:10" hidden="1" x14ac:dyDescent="0.3">
      <c r="A29" s="1" t="s">
        <v>39</v>
      </c>
      <c r="B29" t="s">
        <v>14</v>
      </c>
      <c r="C29" t="s">
        <v>19</v>
      </c>
      <c r="D29" t="s">
        <v>12</v>
      </c>
      <c r="E29">
        <v>15</v>
      </c>
      <c r="F29">
        <v>1</v>
      </c>
      <c r="G29" s="2">
        <v>2.65</v>
      </c>
      <c r="J29" s="8">
        <f>Tableau3[[#This Row],[Ventes]]/Tableau3[[#This Row],[prospet]]</f>
        <v>6.6666666666666666E-2</v>
      </c>
    </row>
    <row r="30" spans="1:10" hidden="1" x14ac:dyDescent="0.3">
      <c r="A30" s="1" t="s">
        <v>39</v>
      </c>
      <c r="B30" t="s">
        <v>9</v>
      </c>
      <c r="C30" t="s">
        <v>20</v>
      </c>
      <c r="D30" t="s">
        <v>13</v>
      </c>
      <c r="E30">
        <v>18</v>
      </c>
      <c r="F30">
        <v>1</v>
      </c>
      <c r="G30" s="2">
        <v>2.6</v>
      </c>
      <c r="J30" s="8">
        <f>Tableau3[[#This Row],[Ventes]]/Tableau3[[#This Row],[prospet]]</f>
        <v>5.5555555555555552E-2</v>
      </c>
    </row>
    <row r="31" spans="1:10" hidden="1" x14ac:dyDescent="0.3">
      <c r="A31" s="1" t="s">
        <v>39</v>
      </c>
      <c r="B31" t="s">
        <v>28</v>
      </c>
      <c r="C31" t="s">
        <v>21</v>
      </c>
      <c r="D31" t="s">
        <v>15</v>
      </c>
      <c r="E31">
        <v>37</v>
      </c>
      <c r="F31">
        <v>2</v>
      </c>
      <c r="G31" s="2">
        <v>2.78</v>
      </c>
      <c r="J31" s="8">
        <f>Tableau3[[#This Row],[Ventes]]/Tableau3[[#This Row],[prospet]]</f>
        <v>5.4054054054054057E-2</v>
      </c>
    </row>
    <row r="32" spans="1:10" hidden="1" x14ac:dyDescent="0.3">
      <c r="A32" s="1" t="s">
        <v>39</v>
      </c>
      <c r="B32" t="s">
        <v>34</v>
      </c>
      <c r="C32" t="s">
        <v>22</v>
      </c>
      <c r="D32" t="s">
        <v>33</v>
      </c>
      <c r="E32">
        <v>2</v>
      </c>
      <c r="F32" t="s">
        <v>29</v>
      </c>
      <c r="G32" s="2">
        <v>2.34</v>
      </c>
      <c r="J32" s="8" t="e">
        <f>Tableau3[[#This Row],[Ventes]]/Tableau3[[#This Row],[prospet]]</f>
        <v>#VALUE!</v>
      </c>
    </row>
    <row r="33" spans="1:10" hidden="1" x14ac:dyDescent="0.3">
      <c r="A33" s="1" t="s">
        <v>39</v>
      </c>
      <c r="B33" t="s">
        <v>24</v>
      </c>
      <c r="C33" t="s">
        <v>25</v>
      </c>
      <c r="D33" t="s">
        <v>24</v>
      </c>
      <c r="E33">
        <v>9</v>
      </c>
      <c r="F33" t="s">
        <v>29</v>
      </c>
      <c r="G33" s="2">
        <v>2.87</v>
      </c>
      <c r="J33" s="8" t="e">
        <f>Tableau3[[#This Row],[Ventes]]/Tableau3[[#This Row],[prospet]]</f>
        <v>#VALUE!</v>
      </c>
    </row>
    <row r="34" spans="1:10" hidden="1" x14ac:dyDescent="0.3">
      <c r="A34" s="1" t="s">
        <v>39</v>
      </c>
      <c r="B34" t="s">
        <v>26</v>
      </c>
      <c r="C34" t="s">
        <v>27</v>
      </c>
      <c r="D34" t="s">
        <v>26</v>
      </c>
      <c r="E34">
        <v>11</v>
      </c>
      <c r="F34" t="s">
        <v>29</v>
      </c>
      <c r="G34" s="2">
        <v>2.11</v>
      </c>
      <c r="J34" s="8" t="e">
        <f>Tableau3[[#This Row],[Ventes]]/Tableau3[[#This Row],[prospet]]</f>
        <v>#VALUE!</v>
      </c>
    </row>
    <row r="35" spans="1:10" hidden="1" x14ac:dyDescent="0.3">
      <c r="A35" s="1" t="s">
        <v>39</v>
      </c>
      <c r="B35" t="s">
        <v>30</v>
      </c>
      <c r="C35" t="s">
        <v>31</v>
      </c>
      <c r="D35" t="s">
        <v>30</v>
      </c>
      <c r="E35">
        <v>18</v>
      </c>
      <c r="F35" t="s">
        <v>29</v>
      </c>
      <c r="G35" s="2">
        <v>2.35</v>
      </c>
      <c r="J35" s="8" t="e">
        <f>Tableau3[[#This Row],[Ventes]]/Tableau3[[#This Row],[prospet]]</f>
        <v>#VALUE!</v>
      </c>
    </row>
    <row r="36" spans="1:10" hidden="1" x14ac:dyDescent="0.3">
      <c r="A36" s="1" t="s">
        <v>40</v>
      </c>
      <c r="B36" t="s">
        <v>16</v>
      </c>
      <c r="C36" t="s">
        <v>17</v>
      </c>
      <c r="D36" t="s">
        <v>18</v>
      </c>
      <c r="E36">
        <v>10</v>
      </c>
      <c r="F36">
        <v>2</v>
      </c>
      <c r="G36" s="2">
        <v>2.33</v>
      </c>
      <c r="J36" s="8">
        <f>Tableau3[[#This Row],[Ventes]]/Tableau3[[#This Row],[prospet]]</f>
        <v>0.2</v>
      </c>
    </row>
    <row r="37" spans="1:10" hidden="1" x14ac:dyDescent="0.3">
      <c r="A37" s="1" t="s">
        <v>40</v>
      </c>
      <c r="B37" t="s">
        <v>6</v>
      </c>
      <c r="C37" t="s">
        <v>17</v>
      </c>
      <c r="D37" t="s">
        <v>7</v>
      </c>
      <c r="E37">
        <v>25</v>
      </c>
      <c r="F37">
        <v>2</v>
      </c>
      <c r="G37" s="2">
        <v>4.01</v>
      </c>
      <c r="J37" s="8">
        <f>Tableau3[[#This Row],[Ventes]]/Tableau3[[#This Row],[prospet]]</f>
        <v>0.08</v>
      </c>
    </row>
    <row r="38" spans="1:10" hidden="1" x14ac:dyDescent="0.3">
      <c r="A38" s="1" t="s">
        <v>40</v>
      </c>
      <c r="B38" t="s">
        <v>14</v>
      </c>
      <c r="C38" t="s">
        <v>19</v>
      </c>
      <c r="D38" t="s">
        <v>12</v>
      </c>
      <c r="E38">
        <v>23</v>
      </c>
      <c r="F38">
        <v>1</v>
      </c>
      <c r="G38" s="2">
        <v>2.4700000000000002</v>
      </c>
      <c r="J38" s="8">
        <f>Tableau3[[#This Row],[Ventes]]/Tableau3[[#This Row],[prospet]]</f>
        <v>4.3478260869565216E-2</v>
      </c>
    </row>
    <row r="39" spans="1:10" hidden="1" x14ac:dyDescent="0.3">
      <c r="A39" s="1" t="s">
        <v>40</v>
      </c>
      <c r="B39" t="s">
        <v>9</v>
      </c>
      <c r="C39" t="s">
        <v>20</v>
      </c>
      <c r="D39" t="s">
        <v>13</v>
      </c>
      <c r="E39">
        <v>8</v>
      </c>
      <c r="F39">
        <v>2</v>
      </c>
      <c r="G39" s="2">
        <v>1.7</v>
      </c>
      <c r="J39" s="8">
        <f>Tableau3[[#This Row],[Ventes]]/Tableau3[[#This Row],[prospet]]</f>
        <v>0.25</v>
      </c>
    </row>
    <row r="40" spans="1:10" hidden="1" x14ac:dyDescent="0.3">
      <c r="A40" s="1" t="s">
        <v>40</v>
      </c>
      <c r="B40" t="s">
        <v>28</v>
      </c>
      <c r="C40" t="s">
        <v>21</v>
      </c>
      <c r="D40" t="s">
        <v>15</v>
      </c>
      <c r="E40">
        <v>23</v>
      </c>
      <c r="F40">
        <v>0</v>
      </c>
      <c r="G40" s="2">
        <v>2.36</v>
      </c>
      <c r="J40" s="8">
        <f>Tableau3[[#This Row],[Ventes]]/Tableau3[[#This Row],[prospet]]</f>
        <v>0</v>
      </c>
    </row>
    <row r="41" spans="1:10" hidden="1" x14ac:dyDescent="0.3">
      <c r="A41" s="1" t="s">
        <v>40</v>
      </c>
      <c r="B41" t="s">
        <v>34</v>
      </c>
      <c r="C41" t="s">
        <v>22</v>
      </c>
      <c r="D41" t="s">
        <v>33</v>
      </c>
      <c r="F41" t="s">
        <v>41</v>
      </c>
      <c r="J41" s="8" t="e">
        <f>Tableau3[[#This Row],[Ventes]]/Tableau3[[#This Row],[prospet]]</f>
        <v>#VALUE!</v>
      </c>
    </row>
    <row r="42" spans="1:10" hidden="1" x14ac:dyDescent="0.3">
      <c r="A42" s="1" t="s">
        <v>40</v>
      </c>
      <c r="B42" t="s">
        <v>24</v>
      </c>
      <c r="C42" t="s">
        <v>25</v>
      </c>
      <c r="D42" t="s">
        <v>24</v>
      </c>
      <c r="E42">
        <v>16</v>
      </c>
      <c r="F42" t="s">
        <v>29</v>
      </c>
      <c r="G42" s="2">
        <v>4.05</v>
      </c>
      <c r="J42" s="8" t="e">
        <f>Tableau3[[#This Row],[Ventes]]/Tableau3[[#This Row],[prospet]]</f>
        <v>#VALUE!</v>
      </c>
    </row>
    <row r="43" spans="1:10" hidden="1" x14ac:dyDescent="0.3">
      <c r="A43" s="1" t="s">
        <v>40</v>
      </c>
      <c r="B43" t="s">
        <v>26</v>
      </c>
      <c r="C43" t="s">
        <v>27</v>
      </c>
      <c r="D43" t="s">
        <v>26</v>
      </c>
      <c r="E43">
        <v>26</v>
      </c>
      <c r="F43" t="s">
        <v>29</v>
      </c>
      <c r="G43" s="2">
        <v>2.99</v>
      </c>
      <c r="J43" s="8" t="e">
        <f>Tableau3[[#This Row],[Ventes]]/Tableau3[[#This Row],[prospet]]</f>
        <v>#VALUE!</v>
      </c>
    </row>
    <row r="44" spans="1:10" hidden="1" x14ac:dyDescent="0.3">
      <c r="A44" s="1" t="s">
        <v>40</v>
      </c>
      <c r="B44" t="s">
        <v>30</v>
      </c>
      <c r="C44" t="s">
        <v>31</v>
      </c>
      <c r="D44" t="s">
        <v>30</v>
      </c>
      <c r="E44">
        <v>13</v>
      </c>
      <c r="F44" t="s">
        <v>29</v>
      </c>
      <c r="G44" s="2">
        <v>2.65</v>
      </c>
      <c r="J44" s="8" t="e">
        <f>Tableau3[[#This Row],[Ventes]]/Tableau3[[#This Row],[prospet]]</f>
        <v>#VALUE!</v>
      </c>
    </row>
    <row r="45" spans="1:10" hidden="1" x14ac:dyDescent="0.3">
      <c r="A45" s="1">
        <v>46146</v>
      </c>
      <c r="B45" t="s">
        <v>16</v>
      </c>
      <c r="D45" t="s">
        <v>18</v>
      </c>
      <c r="E45">
        <v>0</v>
      </c>
      <c r="F45">
        <v>2</v>
      </c>
      <c r="G45" s="2">
        <v>0</v>
      </c>
      <c r="J45" s="8" t="e">
        <f>Tableau3[[#This Row],[Ventes]]/Tableau3[[#This Row],[prospet]]</f>
        <v>#DIV/0!</v>
      </c>
    </row>
    <row r="46" spans="1:10" hidden="1" x14ac:dyDescent="0.3">
      <c r="A46" s="1">
        <v>46146</v>
      </c>
      <c r="B46" t="s">
        <v>6</v>
      </c>
      <c r="D46" t="s">
        <v>7</v>
      </c>
      <c r="E46">
        <v>0</v>
      </c>
      <c r="F46">
        <v>1</v>
      </c>
      <c r="G46" s="2">
        <v>0</v>
      </c>
      <c r="J46" s="8" t="e">
        <f>Tableau3[[#This Row],[Ventes]]/Tableau3[[#This Row],[prospet]]</f>
        <v>#DIV/0!</v>
      </c>
    </row>
    <row r="47" spans="1:10" hidden="1" x14ac:dyDescent="0.3">
      <c r="A47" s="1">
        <v>46146</v>
      </c>
      <c r="B47" t="s">
        <v>14</v>
      </c>
      <c r="D47" t="s">
        <v>12</v>
      </c>
      <c r="E47">
        <v>0</v>
      </c>
      <c r="F47">
        <v>1</v>
      </c>
      <c r="G47" s="2">
        <v>0</v>
      </c>
      <c r="J47" s="8" t="e">
        <f>Tableau3[[#This Row],[Ventes]]/Tableau3[[#This Row],[prospet]]</f>
        <v>#DIV/0!</v>
      </c>
    </row>
    <row r="48" spans="1:10" hidden="1" x14ac:dyDescent="0.3">
      <c r="A48" s="1">
        <v>46146</v>
      </c>
      <c r="B48" t="s">
        <v>9</v>
      </c>
      <c r="D48" t="s">
        <v>13</v>
      </c>
      <c r="E48">
        <v>0</v>
      </c>
      <c r="F48">
        <v>0</v>
      </c>
      <c r="G48" s="2">
        <v>0</v>
      </c>
      <c r="J48" s="8" t="e">
        <f>Tableau3[[#This Row],[Ventes]]/Tableau3[[#This Row],[prospet]]</f>
        <v>#DIV/0!</v>
      </c>
    </row>
    <row r="49" spans="1:10" hidden="1" x14ac:dyDescent="0.3">
      <c r="A49" s="1">
        <v>46146</v>
      </c>
      <c r="B49" t="s">
        <v>28</v>
      </c>
      <c r="D49" t="s">
        <v>15</v>
      </c>
      <c r="E49">
        <v>0</v>
      </c>
      <c r="F49">
        <v>1</v>
      </c>
      <c r="G49" s="2">
        <v>0</v>
      </c>
      <c r="J49" s="8" t="e">
        <f>Tableau3[[#This Row],[Ventes]]/Tableau3[[#This Row],[prospet]]</f>
        <v>#DIV/0!</v>
      </c>
    </row>
    <row r="50" spans="1:10" hidden="1" x14ac:dyDescent="0.3">
      <c r="A50" s="1">
        <v>46146</v>
      </c>
      <c r="B50" t="s">
        <v>42</v>
      </c>
      <c r="D50" t="s">
        <v>35</v>
      </c>
      <c r="E50">
        <v>0</v>
      </c>
      <c r="F50">
        <v>1</v>
      </c>
      <c r="G50" s="2">
        <v>0</v>
      </c>
      <c r="J50" s="8" t="e">
        <f>Tableau3[[#This Row],[Ventes]]/Tableau3[[#This Row],[prospet]]</f>
        <v>#DIV/0!</v>
      </c>
    </row>
    <row r="51" spans="1:10" hidden="1" x14ac:dyDescent="0.3">
      <c r="A51" s="1">
        <v>46146</v>
      </c>
      <c r="B51" t="s">
        <v>24</v>
      </c>
      <c r="D51" t="s">
        <v>24</v>
      </c>
      <c r="E51">
        <v>0</v>
      </c>
      <c r="F51">
        <v>0</v>
      </c>
      <c r="G51" s="2">
        <v>0</v>
      </c>
      <c r="J51" s="8" t="e">
        <f>Tableau3[[#This Row],[Ventes]]/Tableau3[[#This Row],[prospet]]</f>
        <v>#DIV/0!</v>
      </c>
    </row>
    <row r="52" spans="1:10" hidden="1" x14ac:dyDescent="0.3">
      <c r="A52" s="1">
        <v>46146</v>
      </c>
      <c r="B52" t="s">
        <v>26</v>
      </c>
      <c r="D52" t="s">
        <v>26</v>
      </c>
      <c r="E52">
        <v>0</v>
      </c>
      <c r="F52">
        <v>0</v>
      </c>
      <c r="G52" s="2">
        <v>0</v>
      </c>
      <c r="J52" s="8" t="e">
        <f>Tableau3[[#This Row],[Ventes]]/Tableau3[[#This Row],[prospet]]</f>
        <v>#DIV/0!</v>
      </c>
    </row>
    <row r="53" spans="1:10" hidden="1" x14ac:dyDescent="0.3">
      <c r="A53" s="1">
        <v>46146</v>
      </c>
      <c r="B53" t="s">
        <v>43</v>
      </c>
      <c r="D53" t="s">
        <v>43</v>
      </c>
      <c r="E53">
        <v>0</v>
      </c>
      <c r="F53">
        <v>0</v>
      </c>
      <c r="G53" s="2">
        <v>0</v>
      </c>
      <c r="J53" s="8" t="e">
        <f>Tableau3[[#This Row],[Ventes]]/Tableau3[[#This Row],[prospet]]</f>
        <v>#DIV/0!</v>
      </c>
    </row>
    <row r="54" spans="1:10" hidden="1" x14ac:dyDescent="0.3">
      <c r="A54" s="1">
        <v>46146</v>
      </c>
      <c r="B54" t="s">
        <v>44</v>
      </c>
      <c r="D54" t="s">
        <v>44</v>
      </c>
      <c r="E54">
        <v>0</v>
      </c>
      <c r="F54">
        <v>0</v>
      </c>
      <c r="G54" s="2">
        <v>0</v>
      </c>
      <c r="J54" s="8" t="e">
        <f>Tableau3[[#This Row],[Ventes]]/Tableau3[[#This Row],[prospet]]</f>
        <v>#DIV/0!</v>
      </c>
    </row>
    <row r="55" spans="1:10" hidden="1" x14ac:dyDescent="0.3">
      <c r="A55" s="1">
        <v>46146</v>
      </c>
      <c r="B55" t="s">
        <v>45</v>
      </c>
      <c r="D55" t="s">
        <v>45</v>
      </c>
      <c r="E55">
        <v>0</v>
      </c>
      <c r="F55">
        <v>0</v>
      </c>
      <c r="G55" s="2">
        <v>0</v>
      </c>
      <c r="J55" s="8" t="e">
        <f>Tableau3[[#This Row],[Ventes]]/Tableau3[[#This Row],[prospet]]</f>
        <v>#DIV/0!</v>
      </c>
    </row>
    <row r="56" spans="1:10" hidden="1" x14ac:dyDescent="0.3">
      <c r="A56" s="1">
        <v>46146</v>
      </c>
      <c r="B56" t="s">
        <v>30</v>
      </c>
      <c r="D56" t="s">
        <v>30</v>
      </c>
      <c r="E56">
        <v>0</v>
      </c>
      <c r="F56">
        <v>0</v>
      </c>
      <c r="J56" s="8" t="e">
        <f>Tableau3[[#This Row],[Ventes]]/Tableau3[[#This Row],[prospet]]</f>
        <v>#DIV/0!</v>
      </c>
    </row>
    <row r="57" spans="1:10" hidden="1" x14ac:dyDescent="0.3">
      <c r="A57" s="1">
        <v>46147</v>
      </c>
      <c r="B57" t="s">
        <v>16</v>
      </c>
      <c r="C57" t="s">
        <v>50</v>
      </c>
      <c r="D57" t="s">
        <v>18</v>
      </c>
      <c r="E57">
        <v>22</v>
      </c>
      <c r="F57">
        <v>0</v>
      </c>
      <c r="G57" s="2">
        <v>4.46</v>
      </c>
      <c r="J57" s="8">
        <f>Tableau3[[#This Row],[Ventes]]/Tableau3[[#This Row],[prospet]]</f>
        <v>0</v>
      </c>
    </row>
    <row r="58" spans="1:10" hidden="1" x14ac:dyDescent="0.3">
      <c r="A58" s="1">
        <v>46147</v>
      </c>
      <c r="B58" t="s">
        <v>6</v>
      </c>
      <c r="C58" t="s">
        <v>49</v>
      </c>
      <c r="D58" t="s">
        <v>7</v>
      </c>
      <c r="E58">
        <v>31</v>
      </c>
      <c r="F58">
        <v>1</v>
      </c>
      <c r="G58" s="2">
        <v>4.55</v>
      </c>
      <c r="J58" s="8">
        <f>Tableau3[[#This Row],[Ventes]]/Tableau3[[#This Row],[prospet]]</f>
        <v>3.2258064516129031E-2</v>
      </c>
    </row>
    <row r="59" spans="1:10" hidden="1" x14ac:dyDescent="0.3">
      <c r="A59" s="1">
        <v>46147</v>
      </c>
      <c r="B59" t="s">
        <v>14</v>
      </c>
      <c r="C59" t="s">
        <v>48</v>
      </c>
      <c r="D59" t="s">
        <v>12</v>
      </c>
      <c r="E59">
        <v>53</v>
      </c>
      <c r="F59">
        <v>2</v>
      </c>
      <c r="G59" s="2">
        <v>4.22</v>
      </c>
      <c r="J59" s="8">
        <f>Tableau3[[#This Row],[Ventes]]/Tableau3[[#This Row],[prospet]]</f>
        <v>3.7735849056603772E-2</v>
      </c>
    </row>
    <row r="60" spans="1:10" hidden="1" x14ac:dyDescent="0.3">
      <c r="A60" s="1">
        <v>46147</v>
      </c>
      <c r="B60" t="s">
        <v>9</v>
      </c>
      <c r="C60" t="s">
        <v>47</v>
      </c>
      <c r="D60" t="s">
        <v>13</v>
      </c>
      <c r="E60">
        <v>23</v>
      </c>
      <c r="F60">
        <v>1</v>
      </c>
      <c r="G60" s="2">
        <v>4.5</v>
      </c>
      <c r="J60" s="8">
        <f>Tableau3[[#This Row],[Ventes]]/Tableau3[[#This Row],[prospet]]</f>
        <v>4.3478260869565216E-2</v>
      </c>
    </row>
    <row r="61" spans="1:10" hidden="1" x14ac:dyDescent="0.3">
      <c r="A61" s="1">
        <v>46147</v>
      </c>
      <c r="B61" t="s">
        <v>28</v>
      </c>
      <c r="C61" t="s">
        <v>46</v>
      </c>
      <c r="D61" t="s">
        <v>15</v>
      </c>
      <c r="E61">
        <v>66</v>
      </c>
      <c r="F61">
        <v>2</v>
      </c>
      <c r="G61" s="2">
        <v>4.87</v>
      </c>
      <c r="J61" s="8">
        <f>Tableau3[[#This Row],[Ventes]]/Tableau3[[#This Row],[prospet]]</f>
        <v>3.0303030303030304E-2</v>
      </c>
    </row>
    <row r="62" spans="1:10" hidden="1" x14ac:dyDescent="0.3">
      <c r="A62" s="1">
        <v>46147</v>
      </c>
      <c r="B62" t="s">
        <v>42</v>
      </c>
      <c r="D62" t="s">
        <v>35</v>
      </c>
      <c r="E62">
        <v>0</v>
      </c>
      <c r="F62">
        <v>0</v>
      </c>
      <c r="G62" s="2">
        <v>0</v>
      </c>
      <c r="J62" s="8" t="e">
        <f>Tableau3[[#This Row],[Ventes]]/Tableau3[[#This Row],[prospet]]</f>
        <v>#DIV/0!</v>
      </c>
    </row>
    <row r="63" spans="1:10" hidden="1" x14ac:dyDescent="0.3">
      <c r="A63" s="1">
        <v>46147</v>
      </c>
      <c r="B63" t="s">
        <v>24</v>
      </c>
      <c r="D63" t="s">
        <v>24</v>
      </c>
      <c r="E63">
        <v>0</v>
      </c>
      <c r="F63">
        <v>0</v>
      </c>
      <c r="G63" s="2">
        <v>0</v>
      </c>
      <c r="J63" s="8" t="e">
        <f>Tableau3[[#This Row],[Ventes]]/Tableau3[[#This Row],[prospet]]</f>
        <v>#DIV/0!</v>
      </c>
    </row>
    <row r="64" spans="1:10" hidden="1" x14ac:dyDescent="0.3">
      <c r="A64" s="1">
        <v>46147</v>
      </c>
      <c r="B64" t="s">
        <v>26</v>
      </c>
      <c r="D64" t="s">
        <v>26</v>
      </c>
      <c r="E64">
        <v>0</v>
      </c>
      <c r="F64">
        <v>0</v>
      </c>
      <c r="G64" s="2">
        <v>0</v>
      </c>
      <c r="J64" s="8" t="e">
        <f>Tableau3[[#This Row],[Ventes]]/Tableau3[[#This Row],[prospet]]</f>
        <v>#DIV/0!</v>
      </c>
    </row>
    <row r="65" spans="1:10" hidden="1" x14ac:dyDescent="0.3">
      <c r="A65" s="1">
        <v>46147</v>
      </c>
      <c r="B65" t="s">
        <v>43</v>
      </c>
      <c r="C65" t="s">
        <v>51</v>
      </c>
      <c r="D65" t="s">
        <v>43</v>
      </c>
      <c r="E65">
        <v>6</v>
      </c>
      <c r="F65">
        <v>0</v>
      </c>
      <c r="G65" s="2">
        <v>2.09</v>
      </c>
      <c r="J65" s="8">
        <f>Tableau3[[#This Row],[Ventes]]/Tableau3[[#This Row],[prospet]]</f>
        <v>0</v>
      </c>
    </row>
    <row r="66" spans="1:10" hidden="1" x14ac:dyDescent="0.3">
      <c r="A66" s="1">
        <v>46147</v>
      </c>
      <c r="B66" t="s">
        <v>44</v>
      </c>
      <c r="C66" t="s">
        <v>52</v>
      </c>
      <c r="D66" t="s">
        <v>44</v>
      </c>
      <c r="E66">
        <v>27</v>
      </c>
      <c r="F66">
        <v>0</v>
      </c>
      <c r="G66" s="2">
        <v>2.2999999999999998</v>
      </c>
      <c r="J66" s="8">
        <f>Tableau3[[#This Row],[Ventes]]/Tableau3[[#This Row],[prospet]]</f>
        <v>0</v>
      </c>
    </row>
    <row r="67" spans="1:10" hidden="1" x14ac:dyDescent="0.3">
      <c r="A67" s="1">
        <v>46147</v>
      </c>
      <c r="B67" t="s">
        <v>45</v>
      </c>
      <c r="C67" t="s">
        <v>53</v>
      </c>
      <c r="D67" t="s">
        <v>45</v>
      </c>
      <c r="E67">
        <v>0</v>
      </c>
      <c r="F67">
        <v>1</v>
      </c>
      <c r="G67" s="2">
        <v>0</v>
      </c>
      <c r="J67" s="8" t="e">
        <f>Tableau3[[#This Row],[Ventes]]/Tableau3[[#This Row],[prospet]]</f>
        <v>#DIV/0!</v>
      </c>
    </row>
    <row r="68" spans="1:10" hidden="1" x14ac:dyDescent="0.3">
      <c r="A68" s="1">
        <v>46147</v>
      </c>
      <c r="B68" t="s">
        <v>30</v>
      </c>
      <c r="C68" t="s">
        <v>54</v>
      </c>
      <c r="D68" t="s">
        <v>30</v>
      </c>
      <c r="E68">
        <v>0</v>
      </c>
      <c r="F68">
        <v>0</v>
      </c>
      <c r="J68" s="8" t="e">
        <f>Tableau3[[#This Row],[Ventes]]/Tableau3[[#This Row],[prospet]]</f>
        <v>#DIV/0!</v>
      </c>
    </row>
    <row r="69" spans="1:10" hidden="1" x14ac:dyDescent="0.3">
      <c r="A69" s="1">
        <v>46148</v>
      </c>
      <c r="B69" t="s">
        <v>16</v>
      </c>
      <c r="C69" t="s">
        <v>50</v>
      </c>
      <c r="D69" t="s">
        <v>18</v>
      </c>
      <c r="E69">
        <v>18</v>
      </c>
      <c r="F69">
        <v>2</v>
      </c>
      <c r="G69" s="2">
        <v>2.64</v>
      </c>
      <c r="J69" s="8">
        <f>Tableau3[[#This Row],[Ventes]]/Tableau3[[#This Row],[prospet]]</f>
        <v>0.1111111111111111</v>
      </c>
    </row>
    <row r="70" spans="1:10" hidden="1" x14ac:dyDescent="0.3">
      <c r="A70" s="1">
        <v>46148</v>
      </c>
      <c r="B70" t="s">
        <v>6</v>
      </c>
      <c r="C70" t="s">
        <v>49</v>
      </c>
      <c r="D70" t="s">
        <v>7</v>
      </c>
      <c r="E70">
        <v>21</v>
      </c>
      <c r="F70">
        <v>0</v>
      </c>
      <c r="G70" s="2">
        <v>2.2000000000000002</v>
      </c>
      <c r="J70" s="8">
        <f>Tableau3[[#This Row],[Ventes]]/Tableau3[[#This Row],[prospet]]</f>
        <v>0</v>
      </c>
    </row>
    <row r="71" spans="1:10" hidden="1" x14ac:dyDescent="0.3">
      <c r="A71" s="1">
        <v>46148</v>
      </c>
      <c r="B71" t="s">
        <v>14</v>
      </c>
      <c r="C71" t="s">
        <v>48</v>
      </c>
      <c r="D71" t="s">
        <v>12</v>
      </c>
      <c r="E71">
        <v>30</v>
      </c>
      <c r="F71">
        <v>1</v>
      </c>
      <c r="G71" s="2">
        <v>2.44</v>
      </c>
      <c r="J71" s="8">
        <f>Tableau3[[#This Row],[Ventes]]/Tableau3[[#This Row],[prospet]]</f>
        <v>3.3333333333333333E-2</v>
      </c>
    </row>
    <row r="72" spans="1:10" hidden="1" x14ac:dyDescent="0.3">
      <c r="A72" s="1">
        <v>46148</v>
      </c>
      <c r="B72" t="s">
        <v>9</v>
      </c>
      <c r="C72" t="s">
        <v>47</v>
      </c>
      <c r="D72" t="s">
        <v>13</v>
      </c>
      <c r="E72">
        <v>18</v>
      </c>
      <c r="F72">
        <v>1</v>
      </c>
      <c r="G72" s="2">
        <v>2.8</v>
      </c>
      <c r="J72" s="8">
        <f>Tableau3[[#This Row],[Ventes]]/Tableau3[[#This Row],[prospet]]</f>
        <v>5.5555555555555552E-2</v>
      </c>
    </row>
    <row r="73" spans="1:10" hidden="1" x14ac:dyDescent="0.3">
      <c r="A73" s="1">
        <v>46148</v>
      </c>
      <c r="B73" t="s">
        <v>28</v>
      </c>
      <c r="C73" t="s">
        <v>46</v>
      </c>
      <c r="D73" t="s">
        <v>15</v>
      </c>
      <c r="E73">
        <v>34</v>
      </c>
      <c r="F73">
        <v>1</v>
      </c>
      <c r="G73" s="2">
        <v>2.39</v>
      </c>
      <c r="J73" s="8">
        <f>Tableau3[[#This Row],[Ventes]]/Tableau3[[#This Row],[prospet]]</f>
        <v>2.9411764705882353E-2</v>
      </c>
    </row>
    <row r="74" spans="1:10" hidden="1" x14ac:dyDescent="0.3">
      <c r="A74" s="1">
        <v>46148</v>
      </c>
      <c r="B74" t="s">
        <v>42</v>
      </c>
      <c r="D74" t="s">
        <v>35</v>
      </c>
      <c r="E74">
        <v>0</v>
      </c>
      <c r="F74">
        <v>0</v>
      </c>
      <c r="G74" s="2">
        <v>0</v>
      </c>
      <c r="J74" s="8" t="e">
        <f>Tableau3[[#This Row],[Ventes]]/Tableau3[[#This Row],[prospet]]</f>
        <v>#DIV/0!</v>
      </c>
    </row>
    <row r="75" spans="1:10" hidden="1" x14ac:dyDescent="0.3">
      <c r="A75" s="1">
        <v>46148</v>
      </c>
      <c r="B75" t="s">
        <v>24</v>
      </c>
      <c r="D75" t="s">
        <v>24</v>
      </c>
      <c r="E75">
        <v>0</v>
      </c>
      <c r="F75">
        <v>0</v>
      </c>
      <c r="G75" s="2">
        <v>0</v>
      </c>
      <c r="J75" s="8" t="e">
        <f>Tableau3[[#This Row],[Ventes]]/Tableau3[[#This Row],[prospet]]</f>
        <v>#DIV/0!</v>
      </c>
    </row>
    <row r="76" spans="1:10" hidden="1" x14ac:dyDescent="0.3">
      <c r="A76" s="1">
        <v>46148</v>
      </c>
      <c r="B76" t="s">
        <v>26</v>
      </c>
      <c r="D76" t="s">
        <v>26</v>
      </c>
      <c r="E76">
        <v>0</v>
      </c>
      <c r="F76">
        <v>0</v>
      </c>
      <c r="G76" s="2">
        <v>0</v>
      </c>
      <c r="J76" s="8" t="e">
        <f>Tableau3[[#This Row],[Ventes]]/Tableau3[[#This Row],[prospet]]</f>
        <v>#DIV/0!</v>
      </c>
    </row>
    <row r="77" spans="1:10" hidden="1" x14ac:dyDescent="0.3">
      <c r="A77" s="1">
        <v>46148</v>
      </c>
      <c r="B77" t="s">
        <v>43</v>
      </c>
      <c r="C77" t="s">
        <v>51</v>
      </c>
      <c r="D77" t="s">
        <v>43</v>
      </c>
      <c r="E77">
        <v>12</v>
      </c>
      <c r="F77">
        <v>3</v>
      </c>
      <c r="G77" s="2">
        <v>2.9</v>
      </c>
      <c r="J77" s="8">
        <f>Tableau3[[#This Row],[Ventes]]/Tableau3[[#This Row],[prospet]]</f>
        <v>0.25</v>
      </c>
    </row>
    <row r="78" spans="1:10" hidden="1" x14ac:dyDescent="0.3">
      <c r="A78" s="1">
        <v>46148</v>
      </c>
      <c r="B78" t="s">
        <v>44</v>
      </c>
      <c r="C78" t="s">
        <v>52</v>
      </c>
      <c r="D78" t="s">
        <v>44</v>
      </c>
      <c r="E78">
        <v>64</v>
      </c>
      <c r="F78">
        <v>1</v>
      </c>
      <c r="G78" s="2">
        <v>3.42</v>
      </c>
      <c r="J78" s="8">
        <f>Tableau3[[#This Row],[Ventes]]/Tableau3[[#This Row],[prospet]]</f>
        <v>1.5625E-2</v>
      </c>
    </row>
    <row r="79" spans="1:10" hidden="1" x14ac:dyDescent="0.3">
      <c r="A79" s="1">
        <v>46148</v>
      </c>
      <c r="B79" t="s">
        <v>45</v>
      </c>
      <c r="C79" t="s">
        <v>53</v>
      </c>
      <c r="D79" t="s">
        <v>45</v>
      </c>
      <c r="E79">
        <v>35</v>
      </c>
      <c r="F79">
        <v>2</v>
      </c>
      <c r="G79" s="2">
        <v>3.97</v>
      </c>
      <c r="J79" s="8">
        <f>Tableau3[[#This Row],[Ventes]]/Tableau3[[#This Row],[prospet]]</f>
        <v>5.7142857142857141E-2</v>
      </c>
    </row>
    <row r="80" spans="1:10" hidden="1" x14ac:dyDescent="0.3">
      <c r="A80" s="1">
        <v>46148</v>
      </c>
      <c r="B80" t="s">
        <v>30</v>
      </c>
      <c r="C80" t="s">
        <v>54</v>
      </c>
      <c r="D80" t="s">
        <v>30</v>
      </c>
      <c r="E80">
        <v>3</v>
      </c>
      <c r="F80">
        <v>1</v>
      </c>
      <c r="G80" s="2">
        <v>0.41</v>
      </c>
      <c r="J80" s="8">
        <f>Tableau3[[#This Row],[Ventes]]/Tableau3[[#This Row],[prospet]]</f>
        <v>0.33333333333333331</v>
      </c>
    </row>
    <row r="81" spans="1:10" hidden="1" x14ac:dyDescent="0.3">
      <c r="A81" s="1">
        <v>46149</v>
      </c>
      <c r="B81" t="s">
        <v>16</v>
      </c>
      <c r="C81" t="s">
        <v>50</v>
      </c>
      <c r="D81" t="s">
        <v>18</v>
      </c>
      <c r="E81">
        <v>8</v>
      </c>
      <c r="F81">
        <v>2</v>
      </c>
      <c r="G81" s="2">
        <v>2.44</v>
      </c>
      <c r="J81" s="8">
        <f>Tableau3[[#This Row],[Ventes]]/Tableau3[[#This Row],[prospet]]</f>
        <v>0.25</v>
      </c>
    </row>
    <row r="82" spans="1:10" hidden="1" x14ac:dyDescent="0.3">
      <c r="A82" s="1">
        <v>46149</v>
      </c>
      <c r="B82" t="s">
        <v>6</v>
      </c>
      <c r="C82" t="s">
        <v>49</v>
      </c>
      <c r="D82" t="s">
        <v>7</v>
      </c>
      <c r="E82">
        <v>8</v>
      </c>
      <c r="F82">
        <v>0</v>
      </c>
      <c r="G82" s="2">
        <v>2.0699999999999998</v>
      </c>
      <c r="J82" s="8">
        <f>Tableau3[[#This Row],[Ventes]]/Tableau3[[#This Row],[prospet]]</f>
        <v>0</v>
      </c>
    </row>
    <row r="83" spans="1:10" hidden="1" x14ac:dyDescent="0.3">
      <c r="A83" s="1">
        <v>46149</v>
      </c>
      <c r="B83" t="s">
        <v>14</v>
      </c>
      <c r="C83" t="s">
        <v>48</v>
      </c>
      <c r="D83" t="s">
        <v>12</v>
      </c>
      <c r="E83">
        <v>21</v>
      </c>
      <c r="F83">
        <v>1</v>
      </c>
      <c r="G83" s="2">
        <v>2.4900000000000002</v>
      </c>
      <c r="J83" s="8">
        <f>Tableau3[[#This Row],[Ventes]]/Tableau3[[#This Row],[prospet]]</f>
        <v>4.7619047619047616E-2</v>
      </c>
    </row>
    <row r="84" spans="1:10" hidden="1" x14ac:dyDescent="0.3">
      <c r="A84" s="1">
        <v>46149</v>
      </c>
      <c r="B84" t="s">
        <v>9</v>
      </c>
      <c r="C84" t="s">
        <v>47</v>
      </c>
      <c r="D84" t="s">
        <v>13</v>
      </c>
      <c r="E84">
        <v>16</v>
      </c>
      <c r="F84">
        <v>2</v>
      </c>
      <c r="G84" s="2">
        <v>2.54</v>
      </c>
      <c r="J84" s="8">
        <f>Tableau3[[#This Row],[Ventes]]/Tableau3[[#This Row],[prospet]]</f>
        <v>0.125</v>
      </c>
    </row>
    <row r="85" spans="1:10" hidden="1" x14ac:dyDescent="0.3">
      <c r="A85" s="1">
        <v>46149</v>
      </c>
      <c r="B85" t="s">
        <v>28</v>
      </c>
      <c r="C85" t="s">
        <v>46</v>
      </c>
      <c r="D85" t="s">
        <v>15</v>
      </c>
      <c r="E85">
        <v>39</v>
      </c>
      <c r="F85">
        <v>0</v>
      </c>
      <c r="G85" s="2">
        <v>2.97</v>
      </c>
      <c r="J85" s="8">
        <f>Tableau3[[#This Row],[Ventes]]/Tableau3[[#This Row],[prospet]]</f>
        <v>0</v>
      </c>
    </row>
    <row r="86" spans="1:10" hidden="1" x14ac:dyDescent="0.3">
      <c r="A86" s="1">
        <v>46149</v>
      </c>
      <c r="B86" t="s">
        <v>42</v>
      </c>
      <c r="D86" t="s">
        <v>35</v>
      </c>
      <c r="E86">
        <v>0</v>
      </c>
      <c r="G86" s="2">
        <v>0</v>
      </c>
      <c r="J86" s="8" t="e">
        <f>Tableau3[[#This Row],[Ventes]]/Tableau3[[#This Row],[prospet]]</f>
        <v>#DIV/0!</v>
      </c>
    </row>
    <row r="87" spans="1:10" hidden="1" x14ac:dyDescent="0.3">
      <c r="A87" s="1">
        <v>46149</v>
      </c>
      <c r="B87" t="s">
        <v>24</v>
      </c>
      <c r="D87" t="s">
        <v>24</v>
      </c>
      <c r="E87">
        <v>0</v>
      </c>
      <c r="F87">
        <v>0</v>
      </c>
      <c r="G87" s="2">
        <v>0</v>
      </c>
      <c r="J87" s="8" t="e">
        <f>Tableau3[[#This Row],[Ventes]]/Tableau3[[#This Row],[prospet]]</f>
        <v>#DIV/0!</v>
      </c>
    </row>
    <row r="88" spans="1:10" hidden="1" x14ac:dyDescent="0.3">
      <c r="A88" s="1">
        <v>46149</v>
      </c>
      <c r="B88" t="s">
        <v>26</v>
      </c>
      <c r="D88" t="s">
        <v>26</v>
      </c>
      <c r="E88">
        <v>0</v>
      </c>
      <c r="F88">
        <v>0</v>
      </c>
      <c r="G88" s="2">
        <v>0</v>
      </c>
      <c r="J88" s="8" t="e">
        <f>Tableau3[[#This Row],[Ventes]]/Tableau3[[#This Row],[prospet]]</f>
        <v>#DIV/0!</v>
      </c>
    </row>
    <row r="89" spans="1:10" hidden="1" x14ac:dyDescent="0.3">
      <c r="A89" s="1">
        <v>46149</v>
      </c>
      <c r="B89" t="s">
        <v>43</v>
      </c>
      <c r="C89" t="s">
        <v>51</v>
      </c>
      <c r="D89" t="s">
        <v>43</v>
      </c>
      <c r="E89">
        <v>17</v>
      </c>
      <c r="F89">
        <v>1</v>
      </c>
      <c r="G89" s="2">
        <v>3.34</v>
      </c>
      <c r="J89" s="8">
        <f>Tableau3[[#This Row],[Ventes]]/Tableau3[[#This Row],[prospet]]</f>
        <v>5.8823529411764705E-2</v>
      </c>
    </row>
    <row r="90" spans="1:10" hidden="1" x14ac:dyDescent="0.3">
      <c r="A90" s="1">
        <v>46149</v>
      </c>
      <c r="B90" t="s">
        <v>44</v>
      </c>
      <c r="C90" t="s">
        <v>52</v>
      </c>
      <c r="D90" t="s">
        <v>44</v>
      </c>
      <c r="E90">
        <v>26</v>
      </c>
      <c r="F90">
        <v>0</v>
      </c>
      <c r="G90" s="2">
        <v>2.35</v>
      </c>
      <c r="J90" s="8">
        <f>Tableau3[[#This Row],[Ventes]]/Tableau3[[#This Row],[prospet]]</f>
        <v>0</v>
      </c>
    </row>
    <row r="91" spans="1:10" hidden="1" x14ac:dyDescent="0.3">
      <c r="A91" s="1">
        <v>46149</v>
      </c>
      <c r="B91" t="s">
        <v>45</v>
      </c>
      <c r="C91" t="s">
        <v>53</v>
      </c>
      <c r="D91" t="s">
        <v>45</v>
      </c>
      <c r="E91">
        <v>24</v>
      </c>
      <c r="F91">
        <v>3</v>
      </c>
      <c r="G91" s="2">
        <v>2.91</v>
      </c>
      <c r="J91" s="8">
        <f>Tableau3[[#This Row],[Ventes]]/Tableau3[[#This Row],[prospet]]</f>
        <v>0.125</v>
      </c>
    </row>
    <row r="92" spans="1:10" hidden="1" x14ac:dyDescent="0.3">
      <c r="A92" s="1">
        <v>46149</v>
      </c>
      <c r="B92" t="s">
        <v>30</v>
      </c>
      <c r="C92" t="s">
        <v>54</v>
      </c>
      <c r="D92" t="s">
        <v>30</v>
      </c>
      <c r="E92">
        <v>36</v>
      </c>
      <c r="F92">
        <v>0</v>
      </c>
      <c r="G92" s="2">
        <v>3.34</v>
      </c>
      <c r="J92" s="8">
        <f>Tableau3[[#This Row],[Ventes]]/Tableau3[[#This Row],[prospet]]</f>
        <v>0</v>
      </c>
    </row>
    <row r="93" spans="1:10" hidden="1" x14ac:dyDescent="0.3">
      <c r="A93" s="1">
        <v>46149</v>
      </c>
      <c r="B93" t="s">
        <v>3</v>
      </c>
      <c r="C93" t="s">
        <v>55</v>
      </c>
      <c r="D93" t="s">
        <v>3</v>
      </c>
      <c r="E93">
        <v>29</v>
      </c>
      <c r="F93">
        <v>2</v>
      </c>
      <c r="G93" s="2">
        <v>2.4500000000000002</v>
      </c>
      <c r="J93" s="8">
        <f>Tableau3[[#This Row],[Ventes]]/Tableau3[[#This Row],[prospet]]</f>
        <v>6.8965517241379309E-2</v>
      </c>
    </row>
    <row r="94" spans="1:10" hidden="1" x14ac:dyDescent="0.3">
      <c r="A94" s="1">
        <v>46149</v>
      </c>
      <c r="B94" t="s">
        <v>60</v>
      </c>
      <c r="C94" t="s">
        <v>56</v>
      </c>
      <c r="D94" t="s">
        <v>57</v>
      </c>
      <c r="E94">
        <v>20</v>
      </c>
      <c r="F94">
        <v>0</v>
      </c>
      <c r="G94" s="2">
        <v>2.63</v>
      </c>
      <c r="J94" s="8">
        <f>Tableau3[[#This Row],[Ventes]]/Tableau3[[#This Row],[prospet]]</f>
        <v>0</v>
      </c>
    </row>
    <row r="95" spans="1:10" hidden="1" x14ac:dyDescent="0.3">
      <c r="A95" s="1">
        <v>46150</v>
      </c>
      <c r="B95" t="s">
        <v>16</v>
      </c>
      <c r="C95" t="s">
        <v>50</v>
      </c>
      <c r="D95" t="s">
        <v>18</v>
      </c>
      <c r="E95">
        <v>25</v>
      </c>
      <c r="F95">
        <v>0</v>
      </c>
      <c r="G95" s="2">
        <v>3.39</v>
      </c>
      <c r="J95" s="8">
        <f>Tableau3[[#This Row],[Ventes]]/Tableau3[[#This Row],[prospet]]</f>
        <v>0</v>
      </c>
    </row>
    <row r="96" spans="1:10" hidden="1" x14ac:dyDescent="0.3">
      <c r="A96" s="1">
        <v>46150</v>
      </c>
      <c r="B96" t="s">
        <v>6</v>
      </c>
      <c r="C96" t="s">
        <v>49</v>
      </c>
      <c r="D96" t="s">
        <v>7</v>
      </c>
      <c r="F96">
        <v>0</v>
      </c>
      <c r="J96" s="8" t="e">
        <f>Tableau3[[#This Row],[Ventes]]/Tableau3[[#This Row],[prospet]]</f>
        <v>#DIV/0!</v>
      </c>
    </row>
    <row r="97" spans="1:10" hidden="1" x14ac:dyDescent="0.3">
      <c r="A97" s="1">
        <v>46150</v>
      </c>
      <c r="B97" t="s">
        <v>14</v>
      </c>
      <c r="C97" t="s">
        <v>48</v>
      </c>
      <c r="D97" t="s">
        <v>12</v>
      </c>
      <c r="E97">
        <v>22</v>
      </c>
      <c r="F97">
        <v>0</v>
      </c>
      <c r="G97" s="2">
        <v>2.71</v>
      </c>
      <c r="J97" s="8">
        <f>Tableau3[[#This Row],[Ventes]]/Tableau3[[#This Row],[prospet]]</f>
        <v>0</v>
      </c>
    </row>
    <row r="98" spans="1:10" hidden="1" x14ac:dyDescent="0.3">
      <c r="A98" s="1">
        <v>46150</v>
      </c>
      <c r="B98" t="s">
        <v>9</v>
      </c>
      <c r="C98" t="s">
        <v>47</v>
      </c>
      <c r="D98" t="s">
        <v>13</v>
      </c>
      <c r="E98">
        <v>11</v>
      </c>
      <c r="F98">
        <v>1</v>
      </c>
      <c r="G98" s="2">
        <v>2.44</v>
      </c>
      <c r="J98" s="8">
        <f>Tableau3[[#This Row],[Ventes]]/Tableau3[[#This Row],[prospet]]</f>
        <v>9.0909090909090912E-2</v>
      </c>
    </row>
    <row r="99" spans="1:10" hidden="1" x14ac:dyDescent="0.3">
      <c r="A99" s="1">
        <v>46150</v>
      </c>
      <c r="B99" t="s">
        <v>28</v>
      </c>
      <c r="C99" t="s">
        <v>46</v>
      </c>
      <c r="D99" t="s">
        <v>15</v>
      </c>
      <c r="F99">
        <v>2</v>
      </c>
      <c r="J99" s="8" t="e">
        <f>Tableau3[[#This Row],[Ventes]]/Tableau3[[#This Row],[prospet]]</f>
        <v>#DIV/0!</v>
      </c>
    </row>
    <row r="100" spans="1:10" hidden="1" x14ac:dyDescent="0.3">
      <c r="A100" s="1">
        <v>46150</v>
      </c>
      <c r="B100" t="s">
        <v>42</v>
      </c>
      <c r="D100" t="s">
        <v>35</v>
      </c>
      <c r="F100">
        <v>0</v>
      </c>
      <c r="J100" s="8" t="e">
        <f>Tableau3[[#This Row],[Ventes]]/Tableau3[[#This Row],[prospet]]</f>
        <v>#DIV/0!</v>
      </c>
    </row>
    <row r="101" spans="1:10" hidden="1" x14ac:dyDescent="0.3">
      <c r="A101" s="1">
        <v>46150</v>
      </c>
      <c r="B101" t="s">
        <v>24</v>
      </c>
      <c r="D101" t="s">
        <v>24</v>
      </c>
      <c r="F101">
        <v>0</v>
      </c>
      <c r="J101" s="8" t="e">
        <f>Tableau3[[#This Row],[Ventes]]/Tableau3[[#This Row],[prospet]]</f>
        <v>#DIV/0!</v>
      </c>
    </row>
    <row r="102" spans="1:10" hidden="1" x14ac:dyDescent="0.3">
      <c r="A102" s="1">
        <v>46150</v>
      </c>
      <c r="B102" t="s">
        <v>26</v>
      </c>
      <c r="D102" t="s">
        <v>26</v>
      </c>
      <c r="F102">
        <v>0</v>
      </c>
      <c r="J102" s="8" t="e">
        <f>Tableau3[[#This Row],[Ventes]]/Tableau3[[#This Row],[prospet]]</f>
        <v>#DIV/0!</v>
      </c>
    </row>
    <row r="103" spans="1:10" hidden="1" x14ac:dyDescent="0.3">
      <c r="A103" s="1">
        <v>46150</v>
      </c>
      <c r="B103" t="s">
        <v>43</v>
      </c>
      <c r="C103" t="s">
        <v>51</v>
      </c>
      <c r="D103" t="s">
        <v>43</v>
      </c>
      <c r="E103">
        <v>28</v>
      </c>
      <c r="F103">
        <v>1</v>
      </c>
      <c r="G103" s="2">
        <v>2.66</v>
      </c>
      <c r="J103" s="8">
        <f>Tableau3[[#This Row],[Ventes]]/Tableau3[[#This Row],[prospet]]</f>
        <v>3.5714285714285712E-2</v>
      </c>
    </row>
    <row r="104" spans="1:10" hidden="1" x14ac:dyDescent="0.3">
      <c r="A104" s="1">
        <v>46150</v>
      </c>
      <c r="B104" t="s">
        <v>44</v>
      </c>
      <c r="C104" t="s">
        <v>52</v>
      </c>
      <c r="D104" t="s">
        <v>44</v>
      </c>
      <c r="E104">
        <v>16</v>
      </c>
      <c r="F104">
        <v>3</v>
      </c>
      <c r="G104" s="2">
        <v>2.12</v>
      </c>
      <c r="J104" s="8">
        <f>Tableau3[[#This Row],[Ventes]]/Tableau3[[#This Row],[prospet]]</f>
        <v>0.1875</v>
      </c>
    </row>
    <row r="105" spans="1:10" hidden="1" x14ac:dyDescent="0.3">
      <c r="A105" s="1">
        <v>46150</v>
      </c>
      <c r="B105" t="s">
        <v>45</v>
      </c>
      <c r="C105" t="s">
        <v>53</v>
      </c>
      <c r="D105" t="s">
        <v>45</v>
      </c>
      <c r="E105">
        <v>11</v>
      </c>
      <c r="F105">
        <v>1</v>
      </c>
      <c r="G105" s="2">
        <v>2.0299999999999998</v>
      </c>
      <c r="J105" s="8">
        <f>Tableau3[[#This Row],[Ventes]]/Tableau3[[#This Row],[prospet]]</f>
        <v>9.0909090909090912E-2</v>
      </c>
    </row>
    <row r="106" spans="1:10" hidden="1" x14ac:dyDescent="0.3">
      <c r="A106" s="1">
        <v>46150</v>
      </c>
      <c r="B106" t="s">
        <v>30</v>
      </c>
      <c r="C106" t="s">
        <v>54</v>
      </c>
      <c r="D106" t="s">
        <v>30</v>
      </c>
      <c r="E106">
        <v>26</v>
      </c>
      <c r="F106">
        <v>1</v>
      </c>
      <c r="G106" s="2">
        <v>2.59</v>
      </c>
      <c r="J106" s="8">
        <f>Tableau3[[#This Row],[Ventes]]/Tableau3[[#This Row],[prospet]]</f>
        <v>3.8461538461538464E-2</v>
      </c>
    </row>
    <row r="107" spans="1:10" hidden="1" x14ac:dyDescent="0.3">
      <c r="A107" s="1">
        <v>46150</v>
      </c>
      <c r="B107" t="s">
        <v>3</v>
      </c>
      <c r="C107" t="s">
        <v>55</v>
      </c>
      <c r="D107" t="s">
        <v>3</v>
      </c>
      <c r="E107">
        <v>14</v>
      </c>
      <c r="F107">
        <v>1</v>
      </c>
      <c r="G107" s="2">
        <v>1.95</v>
      </c>
      <c r="J107" s="8">
        <f>Tableau3[[#This Row],[Ventes]]/Tableau3[[#This Row],[prospet]]</f>
        <v>7.1428571428571425E-2</v>
      </c>
    </row>
    <row r="108" spans="1:10" hidden="1" x14ac:dyDescent="0.3">
      <c r="A108" s="1">
        <v>46150</v>
      </c>
      <c r="B108" t="s">
        <v>60</v>
      </c>
      <c r="C108" t="s">
        <v>56</v>
      </c>
      <c r="D108" t="s">
        <v>57</v>
      </c>
      <c r="E108">
        <v>18</v>
      </c>
      <c r="F108">
        <v>3</v>
      </c>
      <c r="G108" s="2">
        <v>2.4300000000000002</v>
      </c>
      <c r="J108" s="8">
        <f>Tableau3[[#This Row],[Ventes]]/Tableau3[[#This Row],[prospet]]</f>
        <v>0.16666666666666666</v>
      </c>
    </row>
    <row r="109" spans="1:10" hidden="1" x14ac:dyDescent="0.3">
      <c r="A109" s="1">
        <v>46161</v>
      </c>
      <c r="B109" t="s">
        <v>16</v>
      </c>
      <c r="C109" t="s">
        <v>69</v>
      </c>
      <c r="D109" t="s">
        <v>18</v>
      </c>
      <c r="E109">
        <v>19</v>
      </c>
      <c r="F109">
        <v>2</v>
      </c>
      <c r="G109" s="2">
        <v>3.24</v>
      </c>
      <c r="H109">
        <v>47500</v>
      </c>
      <c r="I109">
        <v>4750</v>
      </c>
      <c r="J109" s="8">
        <f>F109/E109</f>
        <v>0.10526315789473684</v>
      </c>
    </row>
    <row r="110" spans="1:10" hidden="1" x14ac:dyDescent="0.3">
      <c r="A110" s="1">
        <v>46161</v>
      </c>
      <c r="B110" t="s">
        <v>14</v>
      </c>
      <c r="C110" t="s">
        <v>68</v>
      </c>
      <c r="D110" t="s">
        <v>12</v>
      </c>
      <c r="E110">
        <v>22</v>
      </c>
      <c r="G110" s="2">
        <v>1.1200000000000001</v>
      </c>
      <c r="J110" s="8">
        <f t="shared" ref="J110:J173" si="0">F110/E110</f>
        <v>0</v>
      </c>
    </row>
    <row r="111" spans="1:10" hidden="1" x14ac:dyDescent="0.3">
      <c r="A111" s="1">
        <v>46161</v>
      </c>
      <c r="B111" t="s">
        <v>9</v>
      </c>
      <c r="C111" t="s">
        <v>70</v>
      </c>
      <c r="D111" t="s">
        <v>13</v>
      </c>
      <c r="E111">
        <v>29</v>
      </c>
      <c r="G111" s="2">
        <v>3.83</v>
      </c>
      <c r="J111" s="8">
        <f t="shared" si="0"/>
        <v>0</v>
      </c>
    </row>
    <row r="112" spans="1:10" hidden="1" x14ac:dyDescent="0.3">
      <c r="A112" s="1">
        <v>46161</v>
      </c>
      <c r="B112" t="s">
        <v>28</v>
      </c>
      <c r="C112" t="s">
        <v>46</v>
      </c>
      <c r="D112" t="s">
        <v>15</v>
      </c>
      <c r="E112">
        <v>13</v>
      </c>
      <c r="F112">
        <v>1</v>
      </c>
      <c r="G112" s="2">
        <v>2.72</v>
      </c>
      <c r="H112">
        <v>20000</v>
      </c>
      <c r="I112">
        <v>2000</v>
      </c>
      <c r="J112" s="8">
        <f t="shared" si="0"/>
        <v>7.6923076923076927E-2</v>
      </c>
    </row>
    <row r="113" spans="1:10" hidden="1" x14ac:dyDescent="0.3">
      <c r="A113" s="1">
        <v>46161</v>
      </c>
      <c r="B113" t="s">
        <v>43</v>
      </c>
      <c r="C113" t="s">
        <v>71</v>
      </c>
      <c r="D113" t="s">
        <v>43</v>
      </c>
      <c r="E113">
        <v>12</v>
      </c>
      <c r="G113" s="2">
        <v>2.85</v>
      </c>
      <c r="J113" s="8">
        <f t="shared" si="0"/>
        <v>0</v>
      </c>
    </row>
    <row r="114" spans="1:10" hidden="1" x14ac:dyDescent="0.3">
      <c r="A114" s="1">
        <v>46161</v>
      </c>
      <c r="B114" t="s">
        <v>44</v>
      </c>
      <c r="C114" t="s">
        <v>72</v>
      </c>
      <c r="D114" t="s">
        <v>44</v>
      </c>
      <c r="G114" s="2">
        <v>0.59</v>
      </c>
      <c r="J114" s="8" t="e">
        <f t="shared" si="0"/>
        <v>#DIV/0!</v>
      </c>
    </row>
    <row r="115" spans="1:10" hidden="1" x14ac:dyDescent="0.3">
      <c r="A115" s="1">
        <v>46161</v>
      </c>
      <c r="B115" t="s">
        <v>45</v>
      </c>
      <c r="C115" t="s">
        <v>73</v>
      </c>
      <c r="D115" t="s">
        <v>45</v>
      </c>
      <c r="E115">
        <v>17</v>
      </c>
      <c r="G115" s="2">
        <v>2.2799999999999998</v>
      </c>
      <c r="J115" s="8">
        <f t="shared" si="0"/>
        <v>0</v>
      </c>
    </row>
    <row r="116" spans="1:10" hidden="1" x14ac:dyDescent="0.3">
      <c r="A116" s="1">
        <v>46161</v>
      </c>
      <c r="B116" t="s">
        <v>30</v>
      </c>
      <c r="C116" t="s">
        <v>74</v>
      </c>
      <c r="D116" t="s">
        <v>30</v>
      </c>
      <c r="G116" s="2">
        <v>0</v>
      </c>
      <c r="J116" s="8" t="e">
        <f t="shared" si="0"/>
        <v>#DIV/0!</v>
      </c>
    </row>
    <row r="117" spans="1:10" hidden="1" x14ac:dyDescent="0.3">
      <c r="A117" s="1">
        <v>46161</v>
      </c>
      <c r="B117" t="s">
        <v>3</v>
      </c>
      <c r="C117" t="s">
        <v>56</v>
      </c>
      <c r="D117" t="s">
        <v>3</v>
      </c>
      <c r="E117">
        <v>2</v>
      </c>
      <c r="F117">
        <v>2</v>
      </c>
      <c r="G117" s="2">
        <v>0.85</v>
      </c>
      <c r="H117">
        <v>8000</v>
      </c>
      <c r="I117">
        <v>2000</v>
      </c>
      <c r="J117" s="8">
        <f t="shared" si="0"/>
        <v>1</v>
      </c>
    </row>
    <row r="118" spans="1:10" hidden="1" x14ac:dyDescent="0.3">
      <c r="A118" s="1">
        <v>46161</v>
      </c>
      <c r="B118" t="s">
        <v>60</v>
      </c>
      <c r="C118" t="s">
        <v>75</v>
      </c>
      <c r="D118" t="s">
        <v>61</v>
      </c>
      <c r="G118" s="2">
        <v>0</v>
      </c>
      <c r="J118" s="8" t="e">
        <f t="shared" si="0"/>
        <v>#DIV/0!</v>
      </c>
    </row>
    <row r="119" spans="1:10" hidden="1" x14ac:dyDescent="0.3">
      <c r="A119" s="1">
        <v>46161</v>
      </c>
      <c r="B119" t="s">
        <v>62</v>
      </c>
      <c r="C119" t="s">
        <v>65</v>
      </c>
      <c r="D119" t="s">
        <v>62</v>
      </c>
      <c r="E119">
        <v>22</v>
      </c>
      <c r="G119" s="2">
        <v>1.34</v>
      </c>
      <c r="J119" s="8">
        <f t="shared" si="0"/>
        <v>0</v>
      </c>
    </row>
    <row r="120" spans="1:10" hidden="1" x14ac:dyDescent="0.3">
      <c r="A120" s="1">
        <v>46161</v>
      </c>
      <c r="B120" t="s">
        <v>63</v>
      </c>
      <c r="C120" t="s">
        <v>65</v>
      </c>
      <c r="D120" t="s">
        <v>63</v>
      </c>
      <c r="E120">
        <v>11</v>
      </c>
      <c r="G120" s="2">
        <v>1.36</v>
      </c>
      <c r="J120" s="8">
        <f t="shared" si="0"/>
        <v>0</v>
      </c>
    </row>
    <row r="121" spans="1:10" hidden="1" x14ac:dyDescent="0.3">
      <c r="A121" s="1">
        <v>46161</v>
      </c>
      <c r="B121" t="s">
        <v>64</v>
      </c>
      <c r="C121" t="s">
        <v>66</v>
      </c>
      <c r="D121" t="s">
        <v>64</v>
      </c>
      <c r="E121">
        <v>1</v>
      </c>
      <c r="G121" s="2">
        <v>0.64</v>
      </c>
      <c r="J121" s="8">
        <f t="shared" si="0"/>
        <v>0</v>
      </c>
    </row>
    <row r="122" spans="1:10" hidden="1" x14ac:dyDescent="0.3">
      <c r="A122" s="1">
        <v>46162</v>
      </c>
      <c r="B122" t="s">
        <v>16</v>
      </c>
      <c r="C122" t="s">
        <v>69</v>
      </c>
      <c r="D122" t="s">
        <v>18</v>
      </c>
      <c r="E122">
        <v>32</v>
      </c>
      <c r="G122" s="2">
        <v>3.12</v>
      </c>
      <c r="J122" s="8">
        <f t="shared" si="0"/>
        <v>0</v>
      </c>
    </row>
    <row r="123" spans="1:10" hidden="1" x14ac:dyDescent="0.3">
      <c r="A123" s="1">
        <v>46162</v>
      </c>
      <c r="B123" t="s">
        <v>14</v>
      </c>
      <c r="C123" t="s">
        <v>68</v>
      </c>
      <c r="D123" t="s">
        <v>12</v>
      </c>
      <c r="E123">
        <v>47</v>
      </c>
      <c r="G123" s="2">
        <v>2.09</v>
      </c>
      <c r="J123" s="8">
        <f t="shared" si="0"/>
        <v>0</v>
      </c>
    </row>
    <row r="124" spans="1:10" hidden="1" x14ac:dyDescent="0.3">
      <c r="A124" s="1">
        <v>46162</v>
      </c>
      <c r="B124" t="s">
        <v>9</v>
      </c>
      <c r="C124" t="s">
        <v>70</v>
      </c>
      <c r="D124" t="s">
        <v>13</v>
      </c>
      <c r="E124">
        <v>25</v>
      </c>
      <c r="F124">
        <v>1</v>
      </c>
      <c r="G124" s="2">
        <v>3.63</v>
      </c>
      <c r="H124">
        <v>25000</v>
      </c>
      <c r="I124">
        <v>2500</v>
      </c>
      <c r="J124" s="8">
        <f t="shared" si="0"/>
        <v>0.04</v>
      </c>
    </row>
    <row r="125" spans="1:10" hidden="1" x14ac:dyDescent="0.3">
      <c r="A125" s="1">
        <v>46162</v>
      </c>
      <c r="B125" t="s">
        <v>28</v>
      </c>
      <c r="C125" t="s">
        <v>46</v>
      </c>
      <c r="D125" t="s">
        <v>15</v>
      </c>
      <c r="E125">
        <v>15</v>
      </c>
      <c r="G125" s="2">
        <v>2.5</v>
      </c>
      <c r="J125" s="8">
        <f t="shared" si="0"/>
        <v>0</v>
      </c>
    </row>
    <row r="126" spans="1:10" hidden="1" x14ac:dyDescent="0.3">
      <c r="A126" s="1">
        <v>46162</v>
      </c>
      <c r="B126" t="s">
        <v>43</v>
      </c>
      <c r="C126" t="s">
        <v>71</v>
      </c>
      <c r="D126" t="s">
        <v>43</v>
      </c>
      <c r="E126">
        <v>23</v>
      </c>
      <c r="G126" s="2">
        <v>2.83</v>
      </c>
      <c r="J126" s="8">
        <f t="shared" si="0"/>
        <v>0</v>
      </c>
    </row>
    <row r="127" spans="1:10" hidden="1" x14ac:dyDescent="0.3">
      <c r="A127" s="1">
        <v>46162</v>
      </c>
      <c r="B127" t="s">
        <v>44</v>
      </c>
      <c r="C127" t="s">
        <v>72</v>
      </c>
      <c r="D127" t="s">
        <v>44</v>
      </c>
      <c r="E127">
        <v>66</v>
      </c>
      <c r="F127">
        <v>10</v>
      </c>
      <c r="G127" s="2">
        <v>2.9</v>
      </c>
      <c r="H127">
        <v>119500</v>
      </c>
      <c r="I127">
        <v>14750</v>
      </c>
      <c r="J127" s="8">
        <f t="shared" si="0"/>
        <v>0.15151515151515152</v>
      </c>
    </row>
    <row r="128" spans="1:10" hidden="1" x14ac:dyDescent="0.3">
      <c r="A128" s="1">
        <v>46162</v>
      </c>
      <c r="B128" t="s">
        <v>45</v>
      </c>
      <c r="C128" t="s">
        <v>73</v>
      </c>
      <c r="D128" t="s">
        <v>45</v>
      </c>
      <c r="E128">
        <v>38</v>
      </c>
      <c r="G128" s="2">
        <v>2.13</v>
      </c>
      <c r="J128" s="8">
        <f t="shared" si="0"/>
        <v>0</v>
      </c>
    </row>
    <row r="129" spans="1:10" hidden="1" x14ac:dyDescent="0.3">
      <c r="A129" s="1">
        <v>46162</v>
      </c>
      <c r="B129" t="s">
        <v>30</v>
      </c>
      <c r="C129" t="s">
        <v>74</v>
      </c>
      <c r="D129" t="s">
        <v>30</v>
      </c>
      <c r="E129">
        <v>21</v>
      </c>
      <c r="F129">
        <v>2</v>
      </c>
      <c r="G129" s="2">
        <v>2</v>
      </c>
      <c r="H129">
        <v>24000</v>
      </c>
      <c r="I129">
        <v>3000</v>
      </c>
      <c r="J129" s="8">
        <f t="shared" si="0"/>
        <v>9.5238095238095233E-2</v>
      </c>
    </row>
    <row r="130" spans="1:10" hidden="1" x14ac:dyDescent="0.3">
      <c r="A130" s="1">
        <v>46162</v>
      </c>
      <c r="B130" t="s">
        <v>3</v>
      </c>
      <c r="C130" t="s">
        <v>56</v>
      </c>
      <c r="D130" t="s">
        <v>3</v>
      </c>
      <c r="E130">
        <v>13</v>
      </c>
      <c r="G130" s="2">
        <v>2.5299999999999998</v>
      </c>
      <c r="J130" s="8">
        <f t="shared" si="0"/>
        <v>0</v>
      </c>
    </row>
    <row r="131" spans="1:10" hidden="1" x14ac:dyDescent="0.3">
      <c r="A131" s="1">
        <v>46162</v>
      </c>
      <c r="B131" t="s">
        <v>60</v>
      </c>
      <c r="C131" t="s">
        <v>75</v>
      </c>
      <c r="D131" t="s">
        <v>61</v>
      </c>
      <c r="E131">
        <v>59</v>
      </c>
      <c r="F131">
        <v>2</v>
      </c>
      <c r="G131" s="2">
        <v>1.92</v>
      </c>
      <c r="H131">
        <v>6000</v>
      </c>
      <c r="I131">
        <v>2000</v>
      </c>
      <c r="J131" s="8">
        <f t="shared" si="0"/>
        <v>3.3898305084745763E-2</v>
      </c>
    </row>
    <row r="132" spans="1:10" hidden="1" x14ac:dyDescent="0.3">
      <c r="A132" s="1">
        <v>46162</v>
      </c>
      <c r="B132" t="s">
        <v>62</v>
      </c>
      <c r="C132" t="s">
        <v>65</v>
      </c>
      <c r="D132" t="s">
        <v>62</v>
      </c>
      <c r="E132">
        <v>17</v>
      </c>
      <c r="G132" s="2">
        <v>1.76</v>
      </c>
      <c r="J132" s="8">
        <f t="shared" si="0"/>
        <v>0</v>
      </c>
    </row>
    <row r="133" spans="1:10" hidden="1" x14ac:dyDescent="0.3">
      <c r="A133" s="1">
        <v>46162</v>
      </c>
      <c r="B133" t="s">
        <v>63</v>
      </c>
      <c r="C133" t="s">
        <v>65</v>
      </c>
      <c r="D133" t="s">
        <v>63</v>
      </c>
      <c r="E133">
        <v>30</v>
      </c>
      <c r="G133" s="2">
        <v>2.46</v>
      </c>
      <c r="J133" s="8">
        <f t="shared" si="0"/>
        <v>0</v>
      </c>
    </row>
    <row r="134" spans="1:10" hidden="1" x14ac:dyDescent="0.3">
      <c r="A134" s="1">
        <v>46162</v>
      </c>
      <c r="B134" t="s">
        <v>64</v>
      </c>
      <c r="C134" t="s">
        <v>66</v>
      </c>
      <c r="D134" t="s">
        <v>64</v>
      </c>
      <c r="E134">
        <v>75</v>
      </c>
      <c r="F134">
        <v>1</v>
      </c>
      <c r="G134" s="2">
        <v>3.12</v>
      </c>
      <c r="H134">
        <v>10000</v>
      </c>
      <c r="I134">
        <v>1000</v>
      </c>
      <c r="J134" s="8">
        <f t="shared" si="0"/>
        <v>1.3333333333333334E-2</v>
      </c>
    </row>
    <row r="135" spans="1:10" hidden="1" x14ac:dyDescent="0.3">
      <c r="A135" s="1">
        <v>46163</v>
      </c>
      <c r="B135" t="s">
        <v>16</v>
      </c>
      <c r="C135" t="s">
        <v>69</v>
      </c>
      <c r="D135" t="s">
        <v>18</v>
      </c>
      <c r="E135">
        <v>24</v>
      </c>
      <c r="F135">
        <v>2</v>
      </c>
      <c r="G135" s="2">
        <v>2.62</v>
      </c>
      <c r="H135">
        <v>55000</v>
      </c>
      <c r="I135">
        <v>5500</v>
      </c>
      <c r="J135" s="8">
        <f t="shared" si="0"/>
        <v>8.3333333333333329E-2</v>
      </c>
    </row>
    <row r="136" spans="1:10" hidden="1" x14ac:dyDescent="0.3">
      <c r="A136" s="1">
        <v>46163</v>
      </c>
      <c r="B136" t="s">
        <v>14</v>
      </c>
      <c r="C136" t="s">
        <v>68</v>
      </c>
      <c r="D136" t="s">
        <v>12</v>
      </c>
      <c r="E136">
        <v>22</v>
      </c>
      <c r="G136" s="2">
        <v>2.1</v>
      </c>
      <c r="J136" s="8">
        <f t="shared" si="0"/>
        <v>0</v>
      </c>
    </row>
    <row r="137" spans="1:10" hidden="1" x14ac:dyDescent="0.3">
      <c r="A137" s="1">
        <v>46163</v>
      </c>
      <c r="B137" t="s">
        <v>9</v>
      </c>
      <c r="C137" t="s">
        <v>70</v>
      </c>
      <c r="D137" t="s">
        <v>13</v>
      </c>
      <c r="E137">
        <v>12</v>
      </c>
      <c r="G137" s="2">
        <v>2.92</v>
      </c>
      <c r="J137" s="8">
        <f t="shared" si="0"/>
        <v>0</v>
      </c>
    </row>
    <row r="138" spans="1:10" hidden="1" x14ac:dyDescent="0.3">
      <c r="A138" s="1">
        <v>46163</v>
      </c>
      <c r="B138" t="s">
        <v>28</v>
      </c>
      <c r="C138" t="s">
        <v>46</v>
      </c>
      <c r="D138" t="s">
        <v>15</v>
      </c>
      <c r="E138">
        <v>6</v>
      </c>
      <c r="F138">
        <v>2</v>
      </c>
      <c r="G138" s="2">
        <v>1.57</v>
      </c>
      <c r="H138">
        <v>32500</v>
      </c>
      <c r="I138">
        <v>3250</v>
      </c>
      <c r="J138" s="8">
        <f t="shared" si="0"/>
        <v>0.33333333333333331</v>
      </c>
    </row>
    <row r="139" spans="1:10" hidden="1" x14ac:dyDescent="0.3">
      <c r="A139" s="1">
        <v>46163</v>
      </c>
      <c r="B139" t="s">
        <v>43</v>
      </c>
      <c r="C139" t="s">
        <v>71</v>
      </c>
      <c r="D139" t="s">
        <v>43</v>
      </c>
      <c r="E139">
        <v>14</v>
      </c>
      <c r="G139" s="2">
        <v>1.24</v>
      </c>
      <c r="J139" s="8">
        <f t="shared" si="0"/>
        <v>0</v>
      </c>
    </row>
    <row r="140" spans="1:10" hidden="1" x14ac:dyDescent="0.3">
      <c r="A140" s="1">
        <v>46163</v>
      </c>
      <c r="B140" t="s">
        <v>44</v>
      </c>
      <c r="C140" t="s">
        <v>72</v>
      </c>
      <c r="D140" t="s">
        <v>44</v>
      </c>
      <c r="E140">
        <v>11</v>
      </c>
      <c r="G140" s="2">
        <v>2.46</v>
      </c>
      <c r="J140" s="8">
        <f t="shared" si="0"/>
        <v>0</v>
      </c>
    </row>
    <row r="141" spans="1:10" hidden="1" x14ac:dyDescent="0.3">
      <c r="A141" s="1">
        <v>46163</v>
      </c>
      <c r="B141" t="s">
        <v>45</v>
      </c>
      <c r="C141" t="s">
        <v>73</v>
      </c>
      <c r="D141" t="s">
        <v>45</v>
      </c>
      <c r="E141">
        <v>10</v>
      </c>
      <c r="G141" s="2">
        <v>1.28</v>
      </c>
      <c r="J141" s="8">
        <f t="shared" si="0"/>
        <v>0</v>
      </c>
    </row>
    <row r="142" spans="1:10" hidden="1" x14ac:dyDescent="0.3">
      <c r="A142" s="1">
        <v>46163</v>
      </c>
      <c r="B142" t="s">
        <v>30</v>
      </c>
      <c r="C142" t="s">
        <v>74</v>
      </c>
      <c r="D142" t="s">
        <v>30</v>
      </c>
      <c r="E142">
        <v>14</v>
      </c>
      <c r="G142" s="2">
        <v>1.78</v>
      </c>
      <c r="J142" s="8">
        <f t="shared" si="0"/>
        <v>0</v>
      </c>
    </row>
    <row r="143" spans="1:10" hidden="1" x14ac:dyDescent="0.3">
      <c r="A143" s="1">
        <v>46163</v>
      </c>
      <c r="B143" t="s">
        <v>3</v>
      </c>
      <c r="C143" t="s">
        <v>56</v>
      </c>
      <c r="D143" t="s">
        <v>3</v>
      </c>
      <c r="E143">
        <v>9</v>
      </c>
      <c r="F143">
        <v>2</v>
      </c>
      <c r="G143" s="2">
        <v>1.5</v>
      </c>
      <c r="H143">
        <v>6000</v>
      </c>
      <c r="I143">
        <v>2000</v>
      </c>
      <c r="J143" s="8">
        <f t="shared" si="0"/>
        <v>0.22222222222222221</v>
      </c>
    </row>
    <row r="144" spans="1:10" hidden="1" x14ac:dyDescent="0.3">
      <c r="A144" s="1">
        <v>46163</v>
      </c>
      <c r="B144" t="s">
        <v>60</v>
      </c>
      <c r="C144" t="s">
        <v>75</v>
      </c>
      <c r="D144" t="s">
        <v>61</v>
      </c>
      <c r="E144">
        <v>16</v>
      </c>
      <c r="G144" s="2">
        <v>0.56999999999999995</v>
      </c>
      <c r="H144">
        <v>4000</v>
      </c>
      <c r="I144">
        <v>1000</v>
      </c>
      <c r="J144" s="8">
        <f t="shared" si="0"/>
        <v>0</v>
      </c>
    </row>
    <row r="145" spans="1:10" hidden="1" x14ac:dyDescent="0.3">
      <c r="A145" s="1">
        <v>46163</v>
      </c>
      <c r="B145" t="s">
        <v>62</v>
      </c>
      <c r="C145" t="s">
        <v>65</v>
      </c>
      <c r="D145" t="s">
        <v>62</v>
      </c>
      <c r="E145">
        <v>15</v>
      </c>
      <c r="F145">
        <v>1</v>
      </c>
      <c r="G145" s="2">
        <v>1.94</v>
      </c>
      <c r="H145">
        <v>4000</v>
      </c>
      <c r="I145">
        <v>1000</v>
      </c>
      <c r="J145" s="8">
        <f t="shared" si="0"/>
        <v>6.6666666666666666E-2</v>
      </c>
    </row>
    <row r="146" spans="1:10" hidden="1" x14ac:dyDescent="0.3">
      <c r="A146" s="1">
        <v>46163</v>
      </c>
      <c r="B146" t="s">
        <v>63</v>
      </c>
      <c r="C146" t="s">
        <v>65</v>
      </c>
      <c r="D146" t="s">
        <v>63</v>
      </c>
      <c r="E146">
        <v>14</v>
      </c>
      <c r="G146" s="2">
        <v>1.8</v>
      </c>
      <c r="J146" s="8">
        <f t="shared" si="0"/>
        <v>0</v>
      </c>
    </row>
    <row r="147" spans="1:10" hidden="1" x14ac:dyDescent="0.3">
      <c r="A147" s="1">
        <v>46163</v>
      </c>
      <c r="B147" t="s">
        <v>64</v>
      </c>
      <c r="C147" t="s">
        <v>66</v>
      </c>
      <c r="D147" t="s">
        <v>64</v>
      </c>
      <c r="E147">
        <v>22</v>
      </c>
      <c r="F147">
        <v>2</v>
      </c>
      <c r="G147" s="2">
        <v>0.99</v>
      </c>
      <c r="H147">
        <v>14000</v>
      </c>
      <c r="I147">
        <v>2000</v>
      </c>
      <c r="J147" s="8">
        <f t="shared" si="0"/>
        <v>9.0909090909090912E-2</v>
      </c>
    </row>
    <row r="148" spans="1:10" hidden="1" x14ac:dyDescent="0.3">
      <c r="A148" s="1">
        <v>46164</v>
      </c>
      <c r="B148" t="s">
        <v>16</v>
      </c>
      <c r="C148" t="s">
        <v>69</v>
      </c>
      <c r="D148" t="s">
        <v>18</v>
      </c>
      <c r="E148">
        <v>13</v>
      </c>
      <c r="F148">
        <v>2</v>
      </c>
      <c r="G148" s="2">
        <v>2.62</v>
      </c>
      <c r="H148">
        <v>50000</v>
      </c>
      <c r="I148">
        <v>5000</v>
      </c>
      <c r="J148" s="8">
        <f t="shared" si="0"/>
        <v>0.15384615384615385</v>
      </c>
    </row>
    <row r="149" spans="1:10" hidden="1" x14ac:dyDescent="0.3">
      <c r="A149" s="1">
        <v>46164</v>
      </c>
      <c r="B149" t="s">
        <v>14</v>
      </c>
      <c r="C149" t="s">
        <v>68</v>
      </c>
      <c r="D149" t="s">
        <v>12</v>
      </c>
      <c r="E149">
        <v>7</v>
      </c>
      <c r="G149" s="2">
        <v>1.43</v>
      </c>
      <c r="J149" s="8">
        <f t="shared" si="0"/>
        <v>0</v>
      </c>
    </row>
    <row r="150" spans="1:10" hidden="1" x14ac:dyDescent="0.3">
      <c r="A150" s="1">
        <v>46164</v>
      </c>
      <c r="B150" t="s">
        <v>9</v>
      </c>
      <c r="C150" t="s">
        <v>70</v>
      </c>
      <c r="D150" t="s">
        <v>13</v>
      </c>
      <c r="E150">
        <v>7</v>
      </c>
      <c r="F150">
        <v>1</v>
      </c>
      <c r="G150" s="2">
        <v>1.41</v>
      </c>
      <c r="H150">
        <v>20000</v>
      </c>
      <c r="I150">
        <v>2000</v>
      </c>
      <c r="J150" s="8">
        <f t="shared" si="0"/>
        <v>0.14285714285714285</v>
      </c>
    </row>
    <row r="151" spans="1:10" hidden="1" x14ac:dyDescent="0.3">
      <c r="A151" s="1">
        <v>46164</v>
      </c>
      <c r="B151" t="s">
        <v>28</v>
      </c>
      <c r="C151" t="s">
        <v>46</v>
      </c>
      <c r="D151" t="s">
        <v>15</v>
      </c>
      <c r="E151">
        <v>9</v>
      </c>
      <c r="F151">
        <v>1</v>
      </c>
      <c r="G151" s="2">
        <v>1.79</v>
      </c>
      <c r="H151">
        <v>12500</v>
      </c>
      <c r="I151">
        <v>1250</v>
      </c>
      <c r="J151" s="8">
        <f t="shared" si="0"/>
        <v>0.1111111111111111</v>
      </c>
    </row>
    <row r="152" spans="1:10" hidden="1" x14ac:dyDescent="0.3">
      <c r="A152" s="1">
        <v>46164</v>
      </c>
      <c r="B152" t="s">
        <v>43</v>
      </c>
      <c r="C152" t="s">
        <v>71</v>
      </c>
      <c r="D152" t="s">
        <v>43</v>
      </c>
      <c r="E152">
        <v>9</v>
      </c>
      <c r="F152">
        <v>1</v>
      </c>
      <c r="G152" s="2">
        <v>1.6</v>
      </c>
      <c r="H152">
        <v>22500</v>
      </c>
      <c r="I152">
        <v>2250</v>
      </c>
      <c r="J152" s="8">
        <f t="shared" si="0"/>
        <v>0.1111111111111111</v>
      </c>
    </row>
    <row r="153" spans="1:10" hidden="1" x14ac:dyDescent="0.3">
      <c r="A153" s="1">
        <v>46164</v>
      </c>
      <c r="B153" t="s">
        <v>44</v>
      </c>
      <c r="C153" t="s">
        <v>72</v>
      </c>
      <c r="D153" t="s">
        <v>44</v>
      </c>
      <c r="E153">
        <v>23</v>
      </c>
      <c r="G153" s="2">
        <v>2.2999999999999998</v>
      </c>
      <c r="J153" s="8">
        <f t="shared" si="0"/>
        <v>0</v>
      </c>
    </row>
    <row r="154" spans="1:10" hidden="1" x14ac:dyDescent="0.3">
      <c r="A154" s="1">
        <v>46164</v>
      </c>
      <c r="B154" t="s">
        <v>45</v>
      </c>
      <c r="C154" t="s">
        <v>73</v>
      </c>
      <c r="D154" t="s">
        <v>45</v>
      </c>
      <c r="E154">
        <v>12</v>
      </c>
      <c r="F154">
        <v>4</v>
      </c>
      <c r="G154" s="2">
        <v>2.4</v>
      </c>
      <c r="H154">
        <v>24500</v>
      </c>
      <c r="I154">
        <v>5000</v>
      </c>
      <c r="J154" s="8">
        <f t="shared" si="0"/>
        <v>0.33333333333333331</v>
      </c>
    </row>
    <row r="155" spans="1:10" hidden="1" x14ac:dyDescent="0.3">
      <c r="A155" s="1">
        <v>46164</v>
      </c>
      <c r="B155" t="s">
        <v>30</v>
      </c>
      <c r="C155" t="s">
        <v>74</v>
      </c>
      <c r="D155" t="s">
        <v>30</v>
      </c>
      <c r="E155">
        <v>13</v>
      </c>
      <c r="G155" s="2">
        <v>1.65</v>
      </c>
      <c r="J155" s="8">
        <f t="shared" si="0"/>
        <v>0</v>
      </c>
    </row>
    <row r="156" spans="1:10" hidden="1" x14ac:dyDescent="0.3">
      <c r="A156" s="1">
        <v>46164</v>
      </c>
      <c r="B156" t="s">
        <v>3</v>
      </c>
      <c r="C156" t="s">
        <v>56</v>
      </c>
      <c r="D156" t="s">
        <v>3</v>
      </c>
      <c r="E156">
        <v>7</v>
      </c>
      <c r="G156" s="2">
        <v>1.93</v>
      </c>
      <c r="J156" s="8">
        <f t="shared" si="0"/>
        <v>0</v>
      </c>
    </row>
    <row r="157" spans="1:10" hidden="1" x14ac:dyDescent="0.3">
      <c r="A157" s="1">
        <v>46164</v>
      </c>
      <c r="B157" t="s">
        <v>60</v>
      </c>
      <c r="C157" t="s">
        <v>75</v>
      </c>
      <c r="D157" t="s">
        <v>61</v>
      </c>
      <c r="E157">
        <v>31</v>
      </c>
      <c r="F157">
        <v>2</v>
      </c>
      <c r="G157" s="2">
        <v>3.81</v>
      </c>
      <c r="H157">
        <v>6000</v>
      </c>
      <c r="I157">
        <v>2000</v>
      </c>
      <c r="J157" s="8">
        <f t="shared" si="0"/>
        <v>6.4516129032258063E-2</v>
      </c>
    </row>
    <row r="158" spans="1:10" hidden="1" x14ac:dyDescent="0.3">
      <c r="A158" s="1">
        <v>46164</v>
      </c>
      <c r="B158" t="s">
        <v>62</v>
      </c>
      <c r="C158" t="s">
        <v>65</v>
      </c>
      <c r="D158" t="s">
        <v>62</v>
      </c>
      <c r="E158">
        <v>22</v>
      </c>
      <c r="F158">
        <v>3</v>
      </c>
      <c r="G158" s="2">
        <v>1.9</v>
      </c>
      <c r="H158">
        <v>12000</v>
      </c>
      <c r="I158">
        <v>3000</v>
      </c>
      <c r="J158" s="8">
        <f t="shared" si="0"/>
        <v>0.13636363636363635</v>
      </c>
    </row>
    <row r="159" spans="1:10" hidden="1" x14ac:dyDescent="0.3">
      <c r="A159" s="1">
        <v>46164</v>
      </c>
      <c r="B159" t="s">
        <v>63</v>
      </c>
      <c r="C159" t="s">
        <v>65</v>
      </c>
      <c r="D159" t="s">
        <v>63</v>
      </c>
      <c r="E159">
        <v>11</v>
      </c>
      <c r="F159">
        <v>1</v>
      </c>
      <c r="G159" s="2">
        <v>1.65</v>
      </c>
      <c r="H159">
        <v>4000</v>
      </c>
      <c r="I159">
        <v>1000</v>
      </c>
      <c r="J159" s="8">
        <f t="shared" si="0"/>
        <v>9.0909090909090912E-2</v>
      </c>
    </row>
    <row r="160" spans="1:10" hidden="1" x14ac:dyDescent="0.3">
      <c r="A160" s="1">
        <v>46164</v>
      </c>
      <c r="B160" t="s">
        <v>64</v>
      </c>
      <c r="C160" t="s">
        <v>66</v>
      </c>
      <c r="D160" t="s">
        <v>64</v>
      </c>
      <c r="E160">
        <v>25</v>
      </c>
      <c r="F160">
        <v>2</v>
      </c>
      <c r="G160" s="2">
        <v>0.93</v>
      </c>
      <c r="H160">
        <v>14000</v>
      </c>
      <c r="I160">
        <v>2000</v>
      </c>
      <c r="J160" s="8">
        <f t="shared" si="0"/>
        <v>0.08</v>
      </c>
    </row>
    <row r="161" spans="1:10" hidden="1" x14ac:dyDescent="0.3">
      <c r="A161" s="1">
        <v>46165</v>
      </c>
      <c r="B161" t="s">
        <v>16</v>
      </c>
      <c r="C161" t="s">
        <v>69</v>
      </c>
      <c r="D161" t="s">
        <v>18</v>
      </c>
      <c r="E161">
        <v>9</v>
      </c>
      <c r="F161">
        <v>0</v>
      </c>
      <c r="G161" s="2">
        <v>1.94</v>
      </c>
      <c r="J161" s="8">
        <f t="shared" si="0"/>
        <v>0</v>
      </c>
    </row>
    <row r="162" spans="1:10" hidden="1" x14ac:dyDescent="0.3">
      <c r="A162" s="1">
        <v>46165</v>
      </c>
      <c r="B162" t="s">
        <v>14</v>
      </c>
      <c r="C162" t="s">
        <v>68</v>
      </c>
      <c r="D162" t="s">
        <v>12</v>
      </c>
      <c r="E162">
        <v>14</v>
      </c>
      <c r="F162">
        <v>1</v>
      </c>
      <c r="G162" s="2">
        <v>2.63</v>
      </c>
      <c r="H162">
        <v>30000</v>
      </c>
      <c r="I162">
        <v>3000</v>
      </c>
      <c r="J162" s="8">
        <f t="shared" si="0"/>
        <v>7.1428571428571425E-2</v>
      </c>
    </row>
    <row r="163" spans="1:10" hidden="1" x14ac:dyDescent="0.3">
      <c r="A163" s="1">
        <v>46165</v>
      </c>
      <c r="B163" t="s">
        <v>9</v>
      </c>
      <c r="C163" t="s">
        <v>70</v>
      </c>
      <c r="D163" t="s">
        <v>13</v>
      </c>
      <c r="E163">
        <v>14</v>
      </c>
      <c r="G163" s="2">
        <v>2.2000000000000002</v>
      </c>
      <c r="J163" s="8">
        <f t="shared" si="0"/>
        <v>0</v>
      </c>
    </row>
    <row r="164" spans="1:10" hidden="1" x14ac:dyDescent="0.3">
      <c r="A164" s="1">
        <v>46165</v>
      </c>
      <c r="B164" t="s">
        <v>28</v>
      </c>
      <c r="C164" t="s">
        <v>46</v>
      </c>
      <c r="D164" t="s">
        <v>15</v>
      </c>
      <c r="E164">
        <v>4</v>
      </c>
      <c r="G164" s="2">
        <v>0.86</v>
      </c>
      <c r="J164" s="8">
        <f t="shared" si="0"/>
        <v>0</v>
      </c>
    </row>
    <row r="165" spans="1:10" hidden="1" x14ac:dyDescent="0.3">
      <c r="A165" s="1">
        <v>46165</v>
      </c>
      <c r="B165" t="s">
        <v>43</v>
      </c>
      <c r="C165" t="s">
        <v>71</v>
      </c>
      <c r="D165" t="s">
        <v>43</v>
      </c>
      <c r="E165">
        <v>6</v>
      </c>
      <c r="G165" s="2">
        <v>0.93</v>
      </c>
      <c r="J165" s="8">
        <f t="shared" si="0"/>
        <v>0</v>
      </c>
    </row>
    <row r="166" spans="1:10" hidden="1" x14ac:dyDescent="0.3">
      <c r="A166" s="1">
        <v>46165</v>
      </c>
      <c r="B166" t="s">
        <v>44</v>
      </c>
      <c r="C166" t="s">
        <v>72</v>
      </c>
      <c r="D166" t="s">
        <v>44</v>
      </c>
      <c r="E166">
        <v>13</v>
      </c>
      <c r="F166">
        <v>2</v>
      </c>
      <c r="G166" s="2">
        <v>1.44</v>
      </c>
      <c r="H166">
        <f>12500+25000</f>
        <v>37500</v>
      </c>
      <c r="I166">
        <f>1250+2500</f>
        <v>3750</v>
      </c>
      <c r="J166" s="8">
        <f t="shared" si="0"/>
        <v>0.15384615384615385</v>
      </c>
    </row>
    <row r="167" spans="1:10" hidden="1" x14ac:dyDescent="0.3">
      <c r="A167" s="1">
        <v>46165</v>
      </c>
      <c r="B167" t="s">
        <v>45</v>
      </c>
      <c r="C167" t="s">
        <v>73</v>
      </c>
      <c r="D167" t="s">
        <v>45</v>
      </c>
      <c r="E167">
        <v>7</v>
      </c>
      <c r="G167" s="2">
        <v>1</v>
      </c>
      <c r="J167" s="8">
        <f t="shared" si="0"/>
        <v>0</v>
      </c>
    </row>
    <row r="168" spans="1:10" hidden="1" x14ac:dyDescent="0.3">
      <c r="A168" s="1">
        <v>46165</v>
      </c>
      <c r="B168" t="s">
        <v>30</v>
      </c>
      <c r="C168" t="s">
        <v>74</v>
      </c>
      <c r="D168" t="s">
        <v>30</v>
      </c>
      <c r="E168">
        <v>7</v>
      </c>
      <c r="G168" s="2">
        <v>1.49</v>
      </c>
      <c r="J168" s="8">
        <f t="shared" si="0"/>
        <v>0</v>
      </c>
    </row>
    <row r="169" spans="1:10" hidden="1" x14ac:dyDescent="0.3">
      <c r="A169" s="1">
        <v>46165</v>
      </c>
      <c r="B169" t="s">
        <v>3</v>
      </c>
      <c r="C169" t="s">
        <v>56</v>
      </c>
      <c r="D169" t="s">
        <v>3</v>
      </c>
      <c r="E169">
        <v>3</v>
      </c>
      <c r="F169">
        <v>4</v>
      </c>
      <c r="G169" s="2">
        <v>0.63</v>
      </c>
      <c r="H169">
        <v>13000</v>
      </c>
      <c r="I169">
        <v>4000</v>
      </c>
      <c r="J169" s="8">
        <f t="shared" si="0"/>
        <v>1.3333333333333333</v>
      </c>
    </row>
    <row r="170" spans="1:10" hidden="1" x14ac:dyDescent="0.3">
      <c r="A170" s="1">
        <v>46165</v>
      </c>
      <c r="B170" t="s">
        <v>60</v>
      </c>
      <c r="C170" t="s">
        <v>75</v>
      </c>
      <c r="D170" t="s">
        <v>61</v>
      </c>
      <c r="E170">
        <v>30</v>
      </c>
      <c r="F170">
        <v>4</v>
      </c>
      <c r="G170" s="2">
        <v>1.0900000000000001</v>
      </c>
      <c r="H170">
        <v>22500</v>
      </c>
      <c r="I170">
        <v>4250</v>
      </c>
      <c r="J170" s="8">
        <f t="shared" si="0"/>
        <v>0.13333333333333333</v>
      </c>
    </row>
    <row r="171" spans="1:10" hidden="1" x14ac:dyDescent="0.3">
      <c r="A171" s="1">
        <v>46165</v>
      </c>
      <c r="B171" t="s">
        <v>62</v>
      </c>
      <c r="C171" t="s">
        <v>65</v>
      </c>
      <c r="D171" t="s">
        <v>62</v>
      </c>
      <c r="E171">
        <v>12</v>
      </c>
      <c r="F171">
        <v>2</v>
      </c>
      <c r="G171" s="2">
        <v>0.73</v>
      </c>
      <c r="H171">
        <v>8000</v>
      </c>
      <c r="I171">
        <v>2000</v>
      </c>
      <c r="J171" s="8">
        <f t="shared" si="0"/>
        <v>0.16666666666666666</v>
      </c>
    </row>
    <row r="172" spans="1:10" hidden="1" x14ac:dyDescent="0.3">
      <c r="A172" s="1">
        <v>46165</v>
      </c>
      <c r="B172" t="s">
        <v>63</v>
      </c>
      <c r="C172" t="s">
        <v>65</v>
      </c>
      <c r="D172" t="s">
        <v>63</v>
      </c>
      <c r="E172">
        <v>4</v>
      </c>
      <c r="G172" s="2">
        <v>0.76</v>
      </c>
      <c r="J172" s="8">
        <f t="shared" si="0"/>
        <v>0</v>
      </c>
    </row>
    <row r="173" spans="1:10" hidden="1" x14ac:dyDescent="0.3">
      <c r="A173" s="1">
        <v>46165</v>
      </c>
      <c r="B173" t="s">
        <v>64</v>
      </c>
      <c r="C173" t="s">
        <v>66</v>
      </c>
      <c r="D173" t="s">
        <v>64</v>
      </c>
      <c r="E173">
        <v>0</v>
      </c>
      <c r="G173" s="2">
        <v>0</v>
      </c>
      <c r="J173" s="8" t="e">
        <f t="shared" si="0"/>
        <v>#DIV/0!</v>
      </c>
    </row>
    <row r="174" spans="1:10" hidden="1" x14ac:dyDescent="0.3">
      <c r="A174" s="1">
        <v>46166</v>
      </c>
      <c r="B174" t="s">
        <v>16</v>
      </c>
      <c r="C174" t="s">
        <v>69</v>
      </c>
      <c r="D174" t="s">
        <v>18</v>
      </c>
      <c r="E174">
        <v>3</v>
      </c>
      <c r="G174" s="2">
        <v>0.55000000000000004</v>
      </c>
      <c r="J174" s="8">
        <f t="shared" ref="J174:J237" si="1">F174/E174</f>
        <v>0</v>
      </c>
    </row>
    <row r="175" spans="1:10" hidden="1" x14ac:dyDescent="0.3">
      <c r="A175" s="1">
        <v>46166</v>
      </c>
      <c r="B175" t="s">
        <v>14</v>
      </c>
      <c r="C175" t="s">
        <v>68</v>
      </c>
      <c r="D175" t="s">
        <v>12</v>
      </c>
      <c r="E175">
        <v>12</v>
      </c>
      <c r="G175" s="2">
        <v>1.87</v>
      </c>
      <c r="J175" s="8">
        <f t="shared" si="1"/>
        <v>0</v>
      </c>
    </row>
    <row r="176" spans="1:10" hidden="1" x14ac:dyDescent="0.3">
      <c r="A176" s="1">
        <v>46166</v>
      </c>
      <c r="B176" t="s">
        <v>9</v>
      </c>
      <c r="C176" t="s">
        <v>70</v>
      </c>
      <c r="D176" t="s">
        <v>13</v>
      </c>
      <c r="E176">
        <v>1</v>
      </c>
      <c r="G176" s="2">
        <v>0.75</v>
      </c>
      <c r="J176" s="8">
        <f t="shared" si="1"/>
        <v>0</v>
      </c>
    </row>
    <row r="177" spans="1:10" hidden="1" x14ac:dyDescent="0.3">
      <c r="A177" s="1">
        <v>46166</v>
      </c>
      <c r="B177" t="s">
        <v>28</v>
      </c>
      <c r="C177" t="s">
        <v>46</v>
      </c>
      <c r="D177" t="s">
        <v>15</v>
      </c>
      <c r="E177">
        <v>1</v>
      </c>
      <c r="G177" s="2">
        <v>0.5</v>
      </c>
      <c r="J177" s="8">
        <f t="shared" si="1"/>
        <v>0</v>
      </c>
    </row>
    <row r="178" spans="1:10" hidden="1" x14ac:dyDescent="0.3">
      <c r="A178" s="1">
        <v>46166</v>
      </c>
      <c r="B178" t="s">
        <v>43</v>
      </c>
      <c r="C178" t="s">
        <v>71</v>
      </c>
      <c r="D178" t="s">
        <v>43</v>
      </c>
      <c r="E178">
        <v>9</v>
      </c>
      <c r="G178" s="2">
        <v>1.1399999999999999</v>
      </c>
      <c r="J178" s="8">
        <f t="shared" si="1"/>
        <v>0</v>
      </c>
    </row>
    <row r="179" spans="1:10" hidden="1" x14ac:dyDescent="0.3">
      <c r="A179" s="1">
        <v>46166</v>
      </c>
      <c r="B179" t="s">
        <v>44</v>
      </c>
      <c r="C179" t="s">
        <v>72</v>
      </c>
      <c r="D179" t="s">
        <v>44</v>
      </c>
      <c r="E179">
        <v>11</v>
      </c>
      <c r="G179" s="2">
        <v>1.74</v>
      </c>
      <c r="J179" s="8">
        <f t="shared" si="1"/>
        <v>0</v>
      </c>
    </row>
    <row r="180" spans="1:10" hidden="1" x14ac:dyDescent="0.3">
      <c r="A180" s="1">
        <v>46166</v>
      </c>
      <c r="B180" t="s">
        <v>45</v>
      </c>
      <c r="C180" t="s">
        <v>73</v>
      </c>
      <c r="D180" t="s">
        <v>45</v>
      </c>
      <c r="E180">
        <v>8</v>
      </c>
      <c r="G180" s="2">
        <v>1.27</v>
      </c>
      <c r="J180" s="8">
        <f t="shared" si="1"/>
        <v>0</v>
      </c>
    </row>
    <row r="181" spans="1:10" hidden="1" x14ac:dyDescent="0.3">
      <c r="A181" s="1">
        <v>46166</v>
      </c>
      <c r="B181" t="s">
        <v>30</v>
      </c>
      <c r="C181" t="s">
        <v>74</v>
      </c>
      <c r="D181" t="s">
        <v>30</v>
      </c>
      <c r="E181">
        <v>30</v>
      </c>
      <c r="G181" s="2">
        <v>1.77</v>
      </c>
      <c r="J181" s="8">
        <f t="shared" si="1"/>
        <v>0</v>
      </c>
    </row>
    <row r="182" spans="1:10" hidden="1" x14ac:dyDescent="0.3">
      <c r="A182" s="1">
        <v>46166</v>
      </c>
      <c r="B182" t="s">
        <v>3</v>
      </c>
      <c r="C182" t="s">
        <v>56</v>
      </c>
      <c r="D182" t="s">
        <v>3</v>
      </c>
      <c r="E182">
        <v>13</v>
      </c>
      <c r="G182" s="2">
        <v>1.36</v>
      </c>
      <c r="J182" s="8">
        <f t="shared" si="1"/>
        <v>0</v>
      </c>
    </row>
    <row r="183" spans="1:10" hidden="1" x14ac:dyDescent="0.3">
      <c r="A183" s="1">
        <v>46166</v>
      </c>
      <c r="B183" t="s">
        <v>60</v>
      </c>
      <c r="C183" t="s">
        <v>75</v>
      </c>
      <c r="D183" t="s">
        <v>61</v>
      </c>
      <c r="E183">
        <v>53</v>
      </c>
      <c r="G183" s="2">
        <v>1.66</v>
      </c>
      <c r="J183" s="8">
        <f t="shared" si="1"/>
        <v>0</v>
      </c>
    </row>
    <row r="184" spans="1:10" hidden="1" x14ac:dyDescent="0.3">
      <c r="A184" s="1">
        <v>46166</v>
      </c>
      <c r="B184" t="s">
        <v>62</v>
      </c>
      <c r="C184" t="s">
        <v>65</v>
      </c>
      <c r="D184" t="s">
        <v>62</v>
      </c>
      <c r="E184">
        <v>5</v>
      </c>
      <c r="G184" s="2">
        <v>1.05</v>
      </c>
      <c r="J184" s="8">
        <f t="shared" si="1"/>
        <v>0</v>
      </c>
    </row>
    <row r="185" spans="1:10" hidden="1" x14ac:dyDescent="0.3">
      <c r="A185" s="1">
        <v>46166</v>
      </c>
      <c r="B185" t="s">
        <v>63</v>
      </c>
      <c r="C185" t="s">
        <v>65</v>
      </c>
      <c r="D185" t="s">
        <v>63</v>
      </c>
      <c r="E185">
        <v>10</v>
      </c>
      <c r="G185" s="2">
        <v>1.06</v>
      </c>
      <c r="J185" s="8">
        <f t="shared" si="1"/>
        <v>0</v>
      </c>
    </row>
    <row r="186" spans="1:10" hidden="1" x14ac:dyDescent="0.3">
      <c r="A186" s="1">
        <v>46166</v>
      </c>
      <c r="B186" t="s">
        <v>64</v>
      </c>
      <c r="C186" t="s">
        <v>66</v>
      </c>
      <c r="D186" t="s">
        <v>64</v>
      </c>
      <c r="E186">
        <v>57</v>
      </c>
      <c r="G186" s="2">
        <v>2.09</v>
      </c>
      <c r="J186" s="8">
        <f t="shared" si="1"/>
        <v>0</v>
      </c>
    </row>
    <row r="187" spans="1:10" hidden="1" x14ac:dyDescent="0.3">
      <c r="A187" s="1">
        <v>46167</v>
      </c>
      <c r="B187" t="s">
        <v>16</v>
      </c>
      <c r="C187" t="s">
        <v>69</v>
      </c>
      <c r="D187" t="s">
        <v>18</v>
      </c>
      <c r="E187">
        <v>50</v>
      </c>
      <c r="G187" s="2">
        <v>4.42</v>
      </c>
      <c r="J187" s="8">
        <f t="shared" si="1"/>
        <v>0</v>
      </c>
    </row>
    <row r="188" spans="1:10" hidden="1" x14ac:dyDescent="0.3">
      <c r="A188" s="1">
        <v>46167</v>
      </c>
      <c r="B188" t="s">
        <v>14</v>
      </c>
      <c r="C188" t="s">
        <v>68</v>
      </c>
      <c r="D188" t="s">
        <v>12</v>
      </c>
      <c r="E188">
        <v>16</v>
      </c>
      <c r="F188">
        <v>1</v>
      </c>
      <c r="G188" s="2">
        <v>2.89</v>
      </c>
      <c r="H188">
        <v>12500</v>
      </c>
      <c r="I188">
        <v>3000</v>
      </c>
      <c r="J188" s="8">
        <f t="shared" si="1"/>
        <v>6.25E-2</v>
      </c>
    </row>
    <row r="189" spans="1:10" hidden="1" x14ac:dyDescent="0.3">
      <c r="A189" s="1">
        <v>46167</v>
      </c>
      <c r="B189" t="s">
        <v>9</v>
      </c>
      <c r="C189" t="s">
        <v>70</v>
      </c>
      <c r="D189" t="s">
        <v>13</v>
      </c>
      <c r="E189">
        <v>32</v>
      </c>
      <c r="F189">
        <v>1</v>
      </c>
      <c r="G189" s="2">
        <v>5.0599999999999996</v>
      </c>
      <c r="H189">
        <v>12500</v>
      </c>
      <c r="I189">
        <v>1250</v>
      </c>
      <c r="J189" s="8">
        <f t="shared" si="1"/>
        <v>3.125E-2</v>
      </c>
    </row>
    <row r="190" spans="1:10" hidden="1" x14ac:dyDescent="0.3">
      <c r="A190" s="1">
        <v>46167</v>
      </c>
      <c r="B190" t="s">
        <v>28</v>
      </c>
      <c r="C190" t="s">
        <v>46</v>
      </c>
      <c r="D190" t="s">
        <v>15</v>
      </c>
      <c r="E190">
        <v>10</v>
      </c>
      <c r="F190">
        <v>2</v>
      </c>
      <c r="G190" s="2">
        <v>2.5</v>
      </c>
      <c r="H190">
        <v>25000</v>
      </c>
      <c r="I190">
        <v>2500</v>
      </c>
      <c r="J190" s="8">
        <f t="shared" si="1"/>
        <v>0.2</v>
      </c>
    </row>
    <row r="191" spans="1:10" hidden="1" x14ac:dyDescent="0.3">
      <c r="A191" s="1">
        <v>46167</v>
      </c>
      <c r="B191" t="s">
        <v>43</v>
      </c>
      <c r="C191" t="s">
        <v>71</v>
      </c>
      <c r="D191" t="s">
        <v>43</v>
      </c>
      <c r="E191">
        <v>2</v>
      </c>
      <c r="G191" s="2">
        <v>0.36</v>
      </c>
      <c r="J191" s="8">
        <f t="shared" si="1"/>
        <v>0</v>
      </c>
    </row>
    <row r="192" spans="1:10" hidden="1" x14ac:dyDescent="0.3">
      <c r="A192" s="1">
        <v>46167</v>
      </c>
      <c r="B192" t="s">
        <v>44</v>
      </c>
      <c r="C192" t="s">
        <v>72</v>
      </c>
      <c r="D192" t="s">
        <v>44</v>
      </c>
      <c r="E192">
        <v>8</v>
      </c>
      <c r="F192">
        <v>4</v>
      </c>
      <c r="G192" s="2">
        <v>3.03</v>
      </c>
      <c r="H192">
        <f>4000+50000+25000+12500</f>
        <v>91500</v>
      </c>
      <c r="J192" s="8">
        <f t="shared" si="1"/>
        <v>0.5</v>
      </c>
    </row>
    <row r="193" spans="1:10" hidden="1" x14ac:dyDescent="0.3">
      <c r="A193" s="1">
        <v>46167</v>
      </c>
      <c r="B193" t="s">
        <v>45</v>
      </c>
      <c r="C193" t="s">
        <v>73</v>
      </c>
      <c r="D193" t="s">
        <v>45</v>
      </c>
      <c r="E193">
        <v>13</v>
      </c>
      <c r="F193">
        <v>2</v>
      </c>
      <c r="G193" s="2">
        <v>2.67</v>
      </c>
      <c r="H193">
        <f>4000+12500</f>
        <v>16500</v>
      </c>
      <c r="J193" s="8">
        <f t="shared" si="1"/>
        <v>0.15384615384615385</v>
      </c>
    </row>
    <row r="194" spans="1:10" hidden="1" x14ac:dyDescent="0.3">
      <c r="A194" s="1">
        <v>46167</v>
      </c>
      <c r="B194" t="s">
        <v>30</v>
      </c>
      <c r="C194" t="s">
        <v>74</v>
      </c>
      <c r="D194" t="s">
        <v>30</v>
      </c>
      <c r="E194">
        <v>12</v>
      </c>
      <c r="F194">
        <v>1</v>
      </c>
      <c r="G194" s="2">
        <v>1.89</v>
      </c>
      <c r="H194">
        <v>20000</v>
      </c>
      <c r="I194">
        <v>2000</v>
      </c>
      <c r="J194" s="8">
        <f t="shared" si="1"/>
        <v>8.3333333333333329E-2</v>
      </c>
    </row>
    <row r="195" spans="1:10" hidden="1" x14ac:dyDescent="0.3">
      <c r="A195" s="1">
        <v>46167</v>
      </c>
      <c r="B195" t="s">
        <v>3</v>
      </c>
      <c r="C195" t="s">
        <v>56</v>
      </c>
      <c r="D195" t="s">
        <v>3</v>
      </c>
      <c r="E195">
        <v>6</v>
      </c>
      <c r="F195">
        <v>4</v>
      </c>
      <c r="G195" s="2">
        <v>1.71</v>
      </c>
      <c r="H195">
        <v>13000</v>
      </c>
      <c r="I195">
        <v>4000</v>
      </c>
      <c r="J195" s="8">
        <f t="shared" si="1"/>
        <v>0.66666666666666663</v>
      </c>
    </row>
    <row r="196" spans="1:10" hidden="1" x14ac:dyDescent="0.3">
      <c r="A196" s="1">
        <v>46167</v>
      </c>
      <c r="B196" t="s">
        <v>60</v>
      </c>
      <c r="C196" t="s">
        <v>75</v>
      </c>
      <c r="D196" t="s">
        <v>61</v>
      </c>
      <c r="E196">
        <v>25</v>
      </c>
      <c r="F196">
        <v>4</v>
      </c>
      <c r="G196" s="2">
        <v>2.5099999999999998</v>
      </c>
      <c r="H196">
        <v>40500</v>
      </c>
      <c r="I196">
        <v>4750</v>
      </c>
      <c r="J196" s="8">
        <f t="shared" si="1"/>
        <v>0.16</v>
      </c>
    </row>
    <row r="197" spans="1:10" hidden="1" x14ac:dyDescent="0.3">
      <c r="A197" s="1">
        <v>46167</v>
      </c>
      <c r="B197" t="s">
        <v>62</v>
      </c>
      <c r="C197" t="s">
        <v>65</v>
      </c>
      <c r="D197" t="s">
        <v>62</v>
      </c>
      <c r="E197">
        <v>20</v>
      </c>
      <c r="F197">
        <v>3</v>
      </c>
      <c r="G197" s="2">
        <v>2.36</v>
      </c>
      <c r="H197">
        <v>12000</v>
      </c>
      <c r="I197">
        <v>3000</v>
      </c>
      <c r="J197" s="8">
        <f t="shared" si="1"/>
        <v>0.15</v>
      </c>
    </row>
    <row r="198" spans="1:10" hidden="1" x14ac:dyDescent="0.3">
      <c r="A198" s="1">
        <v>46167</v>
      </c>
      <c r="B198" t="s">
        <v>63</v>
      </c>
      <c r="C198" t="s">
        <v>65</v>
      </c>
      <c r="D198" t="s">
        <v>63</v>
      </c>
      <c r="E198">
        <v>16</v>
      </c>
      <c r="F198">
        <v>1</v>
      </c>
      <c r="G198" s="2">
        <v>2.25</v>
      </c>
      <c r="H198">
        <v>4000</v>
      </c>
      <c r="I198">
        <v>1000</v>
      </c>
      <c r="J198" s="8">
        <f t="shared" si="1"/>
        <v>6.25E-2</v>
      </c>
    </row>
    <row r="199" spans="1:10" hidden="1" x14ac:dyDescent="0.3">
      <c r="A199" s="1">
        <v>46167</v>
      </c>
      <c r="B199" t="s">
        <v>64</v>
      </c>
      <c r="C199" t="s">
        <v>66</v>
      </c>
      <c r="D199" t="s">
        <v>64</v>
      </c>
      <c r="E199">
        <v>31</v>
      </c>
      <c r="F199">
        <v>2</v>
      </c>
      <c r="G199" s="2">
        <v>1.63</v>
      </c>
      <c r="H199">
        <v>25000</v>
      </c>
      <c r="I199">
        <v>2500</v>
      </c>
      <c r="J199" s="8">
        <f t="shared" si="1"/>
        <v>6.4516129032258063E-2</v>
      </c>
    </row>
    <row r="200" spans="1:10" hidden="1" x14ac:dyDescent="0.3">
      <c r="A200" s="1">
        <v>46168</v>
      </c>
      <c r="B200" t="s">
        <v>16</v>
      </c>
      <c r="C200" t="s">
        <v>69</v>
      </c>
      <c r="D200" t="s">
        <v>18</v>
      </c>
      <c r="E200">
        <v>32</v>
      </c>
      <c r="F200">
        <v>2</v>
      </c>
      <c r="G200" s="2">
        <v>1.7</v>
      </c>
      <c r="H200">
        <v>25000</v>
      </c>
      <c r="I200">
        <v>2500</v>
      </c>
      <c r="J200" s="8">
        <f t="shared" si="1"/>
        <v>6.25E-2</v>
      </c>
    </row>
    <row r="201" spans="1:10" hidden="1" x14ac:dyDescent="0.3">
      <c r="A201" s="1">
        <v>46168</v>
      </c>
      <c r="B201" t="s">
        <v>14</v>
      </c>
      <c r="C201" t="s">
        <v>68</v>
      </c>
      <c r="D201" t="s">
        <v>12</v>
      </c>
      <c r="E201">
        <v>8</v>
      </c>
      <c r="G201" s="2">
        <v>0.83</v>
      </c>
      <c r="J201" s="8">
        <f t="shared" si="1"/>
        <v>0</v>
      </c>
    </row>
    <row r="202" spans="1:10" hidden="1" x14ac:dyDescent="0.3">
      <c r="A202" s="1">
        <v>46168</v>
      </c>
      <c r="B202" t="s">
        <v>9</v>
      </c>
      <c r="C202" t="s">
        <v>70</v>
      </c>
      <c r="D202" t="s">
        <v>13</v>
      </c>
      <c r="E202">
        <v>21</v>
      </c>
      <c r="F202">
        <v>2</v>
      </c>
      <c r="G202" s="2">
        <v>3.95</v>
      </c>
      <c r="H202">
        <v>8000</v>
      </c>
      <c r="I202">
        <v>2000</v>
      </c>
      <c r="J202" s="8">
        <f t="shared" si="1"/>
        <v>9.5238095238095233E-2</v>
      </c>
    </row>
    <row r="203" spans="1:10" hidden="1" x14ac:dyDescent="0.3">
      <c r="A203" s="1">
        <v>46168</v>
      </c>
      <c r="B203" t="s">
        <v>28</v>
      </c>
      <c r="C203" t="s">
        <v>46</v>
      </c>
      <c r="D203" t="s">
        <v>15</v>
      </c>
      <c r="E203">
        <v>8</v>
      </c>
      <c r="F203">
        <v>3</v>
      </c>
      <c r="G203" s="2">
        <v>2.39</v>
      </c>
      <c r="H203">
        <v>37500</v>
      </c>
      <c r="I203">
        <v>4250</v>
      </c>
      <c r="J203" s="8">
        <f t="shared" si="1"/>
        <v>0.375</v>
      </c>
    </row>
    <row r="204" spans="1:10" hidden="1" x14ac:dyDescent="0.3">
      <c r="A204" s="1">
        <v>46168</v>
      </c>
      <c r="B204" t="s">
        <v>43</v>
      </c>
      <c r="C204" t="s">
        <v>71</v>
      </c>
      <c r="D204" t="s">
        <v>43</v>
      </c>
      <c r="E204">
        <v>0</v>
      </c>
      <c r="G204" s="2">
        <v>0</v>
      </c>
      <c r="J204" s="8" t="e">
        <f t="shared" si="1"/>
        <v>#DIV/0!</v>
      </c>
    </row>
    <row r="205" spans="1:10" hidden="1" x14ac:dyDescent="0.3">
      <c r="A205" s="1">
        <v>46168</v>
      </c>
      <c r="B205" t="s">
        <v>44</v>
      </c>
      <c r="C205" t="s">
        <v>72</v>
      </c>
      <c r="D205" t="s">
        <v>44</v>
      </c>
      <c r="E205">
        <v>15</v>
      </c>
      <c r="G205" s="2">
        <v>3.47</v>
      </c>
      <c r="J205" s="8">
        <f t="shared" si="1"/>
        <v>0</v>
      </c>
    </row>
    <row r="206" spans="1:10" hidden="1" x14ac:dyDescent="0.3">
      <c r="A206" s="1">
        <v>46168</v>
      </c>
      <c r="B206" t="s">
        <v>45</v>
      </c>
      <c r="C206" t="s">
        <v>73</v>
      </c>
      <c r="D206" t="s">
        <v>45</v>
      </c>
      <c r="E206">
        <v>17</v>
      </c>
      <c r="G206" s="2">
        <v>3.64</v>
      </c>
      <c r="J206" s="8">
        <f t="shared" si="1"/>
        <v>0</v>
      </c>
    </row>
    <row r="207" spans="1:10" hidden="1" x14ac:dyDescent="0.3">
      <c r="A207" s="1">
        <v>46168</v>
      </c>
      <c r="B207" t="s">
        <v>30</v>
      </c>
      <c r="C207" t="s">
        <v>74</v>
      </c>
      <c r="D207" t="s">
        <v>30</v>
      </c>
      <c r="E207">
        <v>17</v>
      </c>
      <c r="F207">
        <v>3</v>
      </c>
      <c r="G207" s="2">
        <v>2.74</v>
      </c>
      <c r="H207">
        <v>20500</v>
      </c>
      <c r="I207">
        <v>3250</v>
      </c>
      <c r="J207" s="8">
        <f t="shared" si="1"/>
        <v>0.17647058823529413</v>
      </c>
    </row>
    <row r="208" spans="1:10" hidden="1" x14ac:dyDescent="0.3">
      <c r="A208" s="1">
        <v>46168</v>
      </c>
      <c r="B208" t="s">
        <v>3</v>
      </c>
      <c r="C208" t="s">
        <v>56</v>
      </c>
      <c r="D208" t="s">
        <v>3</v>
      </c>
      <c r="E208">
        <v>10</v>
      </c>
      <c r="F208">
        <v>1</v>
      </c>
      <c r="G208" s="2">
        <v>2.72</v>
      </c>
      <c r="H208">
        <v>4000</v>
      </c>
      <c r="I208">
        <v>1000</v>
      </c>
      <c r="J208" s="8">
        <f t="shared" si="1"/>
        <v>0.1</v>
      </c>
    </row>
    <row r="209" spans="1:10" hidden="1" x14ac:dyDescent="0.3">
      <c r="A209" s="1">
        <v>46168</v>
      </c>
      <c r="B209" t="s">
        <v>60</v>
      </c>
      <c r="C209" t="s">
        <v>75</v>
      </c>
      <c r="D209" t="s">
        <v>61</v>
      </c>
      <c r="E209">
        <v>38</v>
      </c>
      <c r="F209">
        <v>2</v>
      </c>
      <c r="G209" s="2">
        <v>2.2000000000000002</v>
      </c>
      <c r="H209">
        <v>16500</v>
      </c>
      <c r="I209">
        <v>2250</v>
      </c>
      <c r="J209" s="8">
        <f t="shared" si="1"/>
        <v>5.2631578947368418E-2</v>
      </c>
    </row>
    <row r="210" spans="1:10" hidden="1" x14ac:dyDescent="0.3">
      <c r="A210" s="1">
        <v>46168</v>
      </c>
      <c r="B210" t="s">
        <v>62</v>
      </c>
      <c r="C210" t="s">
        <v>65</v>
      </c>
      <c r="D210" t="s">
        <v>62</v>
      </c>
      <c r="E210">
        <v>16</v>
      </c>
      <c r="F210">
        <v>1</v>
      </c>
      <c r="G210" s="2">
        <v>2.67</v>
      </c>
      <c r="H210">
        <v>4000</v>
      </c>
      <c r="I210">
        <v>1000</v>
      </c>
      <c r="J210" s="8">
        <f t="shared" si="1"/>
        <v>6.25E-2</v>
      </c>
    </row>
    <row r="211" spans="1:10" hidden="1" x14ac:dyDescent="0.3">
      <c r="A211" s="1">
        <v>46168</v>
      </c>
      <c r="B211" t="s">
        <v>63</v>
      </c>
      <c r="C211" t="s">
        <v>65</v>
      </c>
      <c r="D211" t="s">
        <v>63</v>
      </c>
      <c r="E211">
        <v>13</v>
      </c>
      <c r="F211">
        <v>2</v>
      </c>
      <c r="G211" s="2">
        <v>2.62</v>
      </c>
      <c r="H211">
        <v>16500</v>
      </c>
      <c r="I211">
        <v>2250</v>
      </c>
      <c r="J211" s="8">
        <f t="shared" si="1"/>
        <v>0.15384615384615385</v>
      </c>
    </row>
    <row r="212" spans="1:10" hidden="1" x14ac:dyDescent="0.3">
      <c r="A212" s="1">
        <v>46168</v>
      </c>
      <c r="B212" t="s">
        <v>64</v>
      </c>
      <c r="C212" t="s">
        <v>66</v>
      </c>
      <c r="D212" t="s">
        <v>64</v>
      </c>
      <c r="E212">
        <v>8</v>
      </c>
      <c r="G212" s="2">
        <v>0.66</v>
      </c>
      <c r="J212" s="8">
        <f t="shared" si="1"/>
        <v>0</v>
      </c>
    </row>
    <row r="213" spans="1:10" hidden="1" x14ac:dyDescent="0.3">
      <c r="A213" s="1">
        <v>46169</v>
      </c>
      <c r="B213" t="s">
        <v>16</v>
      </c>
      <c r="C213" t="s">
        <v>69</v>
      </c>
      <c r="D213" t="s">
        <v>18</v>
      </c>
      <c r="E213">
        <v>0</v>
      </c>
      <c r="G213" s="2">
        <v>3.0000000000000001E-3</v>
      </c>
      <c r="J213" s="8" t="e">
        <f t="shared" si="1"/>
        <v>#DIV/0!</v>
      </c>
    </row>
    <row r="214" spans="1:10" hidden="1" x14ac:dyDescent="0.3">
      <c r="A214" s="1">
        <v>46169</v>
      </c>
      <c r="B214" t="s">
        <v>14</v>
      </c>
      <c r="C214" t="s">
        <v>68</v>
      </c>
      <c r="D214" t="s">
        <v>12</v>
      </c>
      <c r="E214">
        <v>1</v>
      </c>
      <c r="G214" s="2">
        <v>0</v>
      </c>
      <c r="J214" s="8">
        <f t="shared" si="1"/>
        <v>0</v>
      </c>
    </row>
    <row r="215" spans="1:10" hidden="1" x14ac:dyDescent="0.3">
      <c r="A215" s="1">
        <v>46169</v>
      </c>
      <c r="B215" t="s">
        <v>9</v>
      </c>
      <c r="C215" t="s">
        <v>70</v>
      </c>
      <c r="D215" t="s">
        <v>13</v>
      </c>
      <c r="E215">
        <v>5</v>
      </c>
      <c r="F215">
        <v>1</v>
      </c>
      <c r="G215" s="2">
        <v>0.26</v>
      </c>
      <c r="H215">
        <v>4000</v>
      </c>
      <c r="I215">
        <v>1000</v>
      </c>
      <c r="J215" s="8">
        <f t="shared" si="1"/>
        <v>0.2</v>
      </c>
    </row>
    <row r="216" spans="1:10" hidden="1" x14ac:dyDescent="0.3">
      <c r="A216" s="1">
        <v>46169</v>
      </c>
      <c r="B216" t="s">
        <v>28</v>
      </c>
      <c r="C216" t="s">
        <v>46</v>
      </c>
      <c r="D216" t="s">
        <v>15</v>
      </c>
      <c r="E216">
        <v>1</v>
      </c>
      <c r="F216">
        <v>2</v>
      </c>
      <c r="G216" s="2">
        <v>0.48</v>
      </c>
      <c r="H216">
        <v>25000</v>
      </c>
      <c r="I216">
        <v>2500</v>
      </c>
      <c r="J216" s="8">
        <f t="shared" si="1"/>
        <v>2</v>
      </c>
    </row>
    <row r="217" spans="1:10" hidden="1" x14ac:dyDescent="0.3">
      <c r="A217" s="1">
        <v>46169</v>
      </c>
      <c r="B217" t="s">
        <v>43</v>
      </c>
      <c r="C217" t="s">
        <v>71</v>
      </c>
      <c r="D217" t="s">
        <v>43</v>
      </c>
      <c r="E217">
        <v>0</v>
      </c>
      <c r="G217" s="2">
        <v>0</v>
      </c>
      <c r="J217" s="8" t="e">
        <f t="shared" si="1"/>
        <v>#DIV/0!</v>
      </c>
    </row>
    <row r="218" spans="1:10" hidden="1" x14ac:dyDescent="0.3">
      <c r="A218" s="1">
        <v>46169</v>
      </c>
      <c r="B218" t="s">
        <v>44</v>
      </c>
      <c r="C218" t="s">
        <v>72</v>
      </c>
      <c r="D218" t="s">
        <v>44</v>
      </c>
      <c r="E218">
        <v>2</v>
      </c>
      <c r="G218" s="2">
        <v>0.12</v>
      </c>
      <c r="J218" s="8">
        <f t="shared" si="1"/>
        <v>0</v>
      </c>
    </row>
    <row r="219" spans="1:10" hidden="1" x14ac:dyDescent="0.3">
      <c r="A219" s="1">
        <v>46169</v>
      </c>
      <c r="B219" t="s">
        <v>45</v>
      </c>
      <c r="C219" t="s">
        <v>73</v>
      </c>
      <c r="D219" t="s">
        <v>45</v>
      </c>
      <c r="E219">
        <v>4</v>
      </c>
      <c r="G219" s="2">
        <v>0.84</v>
      </c>
      <c r="J219" s="8">
        <f t="shared" si="1"/>
        <v>0</v>
      </c>
    </row>
    <row r="220" spans="1:10" hidden="1" x14ac:dyDescent="0.3">
      <c r="A220" s="1">
        <v>46169</v>
      </c>
      <c r="B220" t="s">
        <v>30</v>
      </c>
      <c r="C220" t="s">
        <v>74</v>
      </c>
      <c r="D220" t="s">
        <v>30</v>
      </c>
      <c r="E220">
        <v>4</v>
      </c>
      <c r="F220">
        <v>1</v>
      </c>
      <c r="G220" s="2">
        <v>0.23</v>
      </c>
      <c r="H220">
        <v>4000</v>
      </c>
      <c r="I220">
        <v>1000</v>
      </c>
      <c r="J220" s="8">
        <f t="shared" si="1"/>
        <v>0.25</v>
      </c>
    </row>
    <row r="221" spans="1:10" hidden="1" x14ac:dyDescent="0.3">
      <c r="A221" s="1">
        <v>46169</v>
      </c>
      <c r="B221" t="s">
        <v>3</v>
      </c>
      <c r="C221" t="s">
        <v>56</v>
      </c>
      <c r="D221" t="s">
        <v>3</v>
      </c>
      <c r="E221">
        <v>7</v>
      </c>
      <c r="G221" s="2">
        <v>0.41</v>
      </c>
      <c r="J221" s="8">
        <f t="shared" si="1"/>
        <v>0</v>
      </c>
    </row>
    <row r="222" spans="1:10" hidden="1" x14ac:dyDescent="0.3">
      <c r="A222" s="1">
        <v>46169</v>
      </c>
      <c r="B222" t="s">
        <v>60</v>
      </c>
      <c r="C222" t="s">
        <v>75</v>
      </c>
      <c r="D222" t="s">
        <v>61</v>
      </c>
      <c r="E222">
        <v>1</v>
      </c>
      <c r="G222" s="2">
        <v>0</v>
      </c>
      <c r="J222" s="8">
        <f t="shared" si="1"/>
        <v>0</v>
      </c>
    </row>
    <row r="223" spans="1:10" hidden="1" x14ac:dyDescent="0.3">
      <c r="A223" s="1">
        <v>46169</v>
      </c>
      <c r="B223" t="s">
        <v>62</v>
      </c>
      <c r="C223" t="s">
        <v>65</v>
      </c>
      <c r="D223" t="s">
        <v>62</v>
      </c>
      <c r="E223">
        <v>2</v>
      </c>
      <c r="F223">
        <v>5</v>
      </c>
      <c r="G223" s="2">
        <v>0.21</v>
      </c>
      <c r="H223">
        <v>20000</v>
      </c>
      <c r="I223">
        <v>5000</v>
      </c>
      <c r="J223" s="8">
        <f t="shared" si="1"/>
        <v>2.5</v>
      </c>
    </row>
    <row r="224" spans="1:10" hidden="1" x14ac:dyDescent="0.3">
      <c r="A224" s="1">
        <v>46169</v>
      </c>
      <c r="B224" t="s">
        <v>63</v>
      </c>
      <c r="C224" t="s">
        <v>65</v>
      </c>
      <c r="D224" t="s">
        <v>63</v>
      </c>
      <c r="E224">
        <v>4</v>
      </c>
      <c r="G224" s="2">
        <v>0.2</v>
      </c>
      <c r="J224" s="8">
        <f t="shared" si="1"/>
        <v>0</v>
      </c>
    </row>
    <row r="225" spans="1:10" hidden="1" x14ac:dyDescent="0.3">
      <c r="A225" s="1">
        <v>46169</v>
      </c>
      <c r="B225" t="s">
        <v>64</v>
      </c>
      <c r="C225" t="s">
        <v>66</v>
      </c>
      <c r="D225" t="s">
        <v>64</v>
      </c>
      <c r="E225">
        <v>0</v>
      </c>
      <c r="G225" s="2">
        <v>0</v>
      </c>
      <c r="J225" s="8" t="e">
        <f t="shared" si="1"/>
        <v>#DIV/0!</v>
      </c>
    </row>
    <row r="226" spans="1:10" hidden="1" x14ac:dyDescent="0.3">
      <c r="A226" s="1">
        <v>46170</v>
      </c>
      <c r="B226" t="s">
        <v>16</v>
      </c>
      <c r="C226" t="s">
        <v>69</v>
      </c>
      <c r="D226" t="s">
        <v>18</v>
      </c>
      <c r="E226">
        <v>2</v>
      </c>
      <c r="G226" s="2">
        <v>0</v>
      </c>
      <c r="J226" s="8">
        <f t="shared" si="1"/>
        <v>0</v>
      </c>
    </row>
    <row r="227" spans="1:10" hidden="1" x14ac:dyDescent="0.3">
      <c r="A227" s="1">
        <v>46170</v>
      </c>
      <c r="B227" t="s">
        <v>14</v>
      </c>
      <c r="C227" t="s">
        <v>68</v>
      </c>
      <c r="D227" t="s">
        <v>12</v>
      </c>
      <c r="E227">
        <v>1</v>
      </c>
      <c r="G227" s="2">
        <v>0</v>
      </c>
      <c r="J227" s="8">
        <f t="shared" si="1"/>
        <v>0</v>
      </c>
    </row>
    <row r="228" spans="1:10" hidden="1" x14ac:dyDescent="0.3">
      <c r="A228" s="1">
        <v>46170</v>
      </c>
      <c r="B228" t="s">
        <v>9</v>
      </c>
      <c r="C228" t="s">
        <v>70</v>
      </c>
      <c r="D228" t="s">
        <v>13</v>
      </c>
      <c r="E228">
        <v>0</v>
      </c>
      <c r="G228" s="2">
        <v>0</v>
      </c>
      <c r="J228" s="8" t="e">
        <f t="shared" si="1"/>
        <v>#DIV/0!</v>
      </c>
    </row>
    <row r="229" spans="1:10" hidden="1" x14ac:dyDescent="0.3">
      <c r="A229" s="1">
        <v>46170</v>
      </c>
      <c r="B229" t="s">
        <v>28</v>
      </c>
      <c r="C229" t="s">
        <v>46</v>
      </c>
      <c r="D229" t="s">
        <v>15</v>
      </c>
      <c r="E229">
        <v>0</v>
      </c>
      <c r="G229" s="2">
        <v>0</v>
      </c>
      <c r="J229" s="8" t="e">
        <f t="shared" si="1"/>
        <v>#DIV/0!</v>
      </c>
    </row>
    <row r="230" spans="1:10" hidden="1" x14ac:dyDescent="0.3">
      <c r="A230" s="1">
        <v>46170</v>
      </c>
      <c r="B230" t="s">
        <v>43</v>
      </c>
      <c r="C230" t="s">
        <v>71</v>
      </c>
      <c r="D230" t="s">
        <v>43</v>
      </c>
      <c r="E230">
        <v>0</v>
      </c>
      <c r="G230" s="2">
        <v>0</v>
      </c>
      <c r="J230" s="8" t="e">
        <f t="shared" si="1"/>
        <v>#DIV/0!</v>
      </c>
    </row>
    <row r="231" spans="1:10" hidden="1" x14ac:dyDescent="0.3">
      <c r="A231" s="1">
        <v>46170</v>
      </c>
      <c r="B231" t="s">
        <v>44</v>
      </c>
      <c r="C231" t="s">
        <v>72</v>
      </c>
      <c r="D231" t="s">
        <v>44</v>
      </c>
      <c r="E231">
        <v>1</v>
      </c>
      <c r="G231" s="2">
        <v>0</v>
      </c>
      <c r="J231" s="8">
        <f t="shared" si="1"/>
        <v>0</v>
      </c>
    </row>
    <row r="232" spans="1:10" hidden="1" x14ac:dyDescent="0.3">
      <c r="A232" s="1">
        <v>46170</v>
      </c>
      <c r="B232" t="s">
        <v>45</v>
      </c>
      <c r="C232" t="s">
        <v>73</v>
      </c>
      <c r="D232" t="s">
        <v>45</v>
      </c>
      <c r="E232">
        <v>0</v>
      </c>
      <c r="G232" s="2">
        <v>0</v>
      </c>
      <c r="J232" s="8" t="e">
        <f t="shared" si="1"/>
        <v>#DIV/0!</v>
      </c>
    </row>
    <row r="233" spans="1:10" hidden="1" x14ac:dyDescent="0.3">
      <c r="A233" s="1">
        <v>46170</v>
      </c>
      <c r="B233" t="s">
        <v>30</v>
      </c>
      <c r="C233" t="s">
        <v>74</v>
      </c>
      <c r="D233" t="s">
        <v>30</v>
      </c>
      <c r="E233">
        <v>0</v>
      </c>
      <c r="G233" s="2">
        <v>0</v>
      </c>
      <c r="J233" s="8" t="e">
        <f t="shared" si="1"/>
        <v>#DIV/0!</v>
      </c>
    </row>
    <row r="234" spans="1:10" hidden="1" x14ac:dyDescent="0.3">
      <c r="A234" s="1">
        <v>46170</v>
      </c>
      <c r="B234" t="s">
        <v>3</v>
      </c>
      <c r="C234" t="s">
        <v>56</v>
      </c>
      <c r="D234" t="s">
        <v>3</v>
      </c>
      <c r="E234">
        <v>0</v>
      </c>
      <c r="G234" s="2">
        <v>0</v>
      </c>
      <c r="J234" s="8" t="e">
        <f t="shared" si="1"/>
        <v>#DIV/0!</v>
      </c>
    </row>
    <row r="235" spans="1:10" hidden="1" x14ac:dyDescent="0.3">
      <c r="A235" s="1">
        <v>46170</v>
      </c>
      <c r="B235" t="s">
        <v>60</v>
      </c>
      <c r="C235" t="s">
        <v>75</v>
      </c>
      <c r="D235" t="s">
        <v>61</v>
      </c>
      <c r="E235">
        <v>0</v>
      </c>
      <c r="G235" s="2">
        <v>0</v>
      </c>
      <c r="J235" s="8" t="e">
        <f t="shared" si="1"/>
        <v>#DIV/0!</v>
      </c>
    </row>
    <row r="236" spans="1:10" hidden="1" x14ac:dyDescent="0.3">
      <c r="A236" s="1">
        <v>46170</v>
      </c>
      <c r="B236" t="s">
        <v>62</v>
      </c>
      <c r="C236" t="s">
        <v>65</v>
      </c>
      <c r="D236" t="s">
        <v>62</v>
      </c>
      <c r="E236">
        <v>2</v>
      </c>
      <c r="G236" s="2">
        <v>0</v>
      </c>
      <c r="J236" s="8">
        <f t="shared" si="1"/>
        <v>0</v>
      </c>
    </row>
    <row r="237" spans="1:10" hidden="1" x14ac:dyDescent="0.3">
      <c r="A237" s="1">
        <v>46170</v>
      </c>
      <c r="B237" t="s">
        <v>63</v>
      </c>
      <c r="C237" t="s">
        <v>65</v>
      </c>
      <c r="D237" t="s">
        <v>63</v>
      </c>
      <c r="E237">
        <v>0</v>
      </c>
      <c r="G237" s="2">
        <v>0</v>
      </c>
      <c r="J237" s="8" t="e">
        <f t="shared" si="1"/>
        <v>#DIV/0!</v>
      </c>
    </row>
    <row r="238" spans="1:10" hidden="1" x14ac:dyDescent="0.3">
      <c r="A238" s="1">
        <v>46170</v>
      </c>
      <c r="B238" t="s">
        <v>64</v>
      </c>
      <c r="C238" t="s">
        <v>66</v>
      </c>
      <c r="D238" t="s">
        <v>64</v>
      </c>
      <c r="E238">
        <v>0</v>
      </c>
      <c r="G238" s="2">
        <v>0</v>
      </c>
      <c r="J238" s="8" t="e">
        <f t="shared" ref="J238:J277" si="2">F238/E238</f>
        <v>#DIV/0!</v>
      </c>
    </row>
    <row r="239" spans="1:10" hidden="1" x14ac:dyDescent="0.3">
      <c r="A239" s="1">
        <v>46171</v>
      </c>
      <c r="B239" t="s">
        <v>16</v>
      </c>
      <c r="C239" t="s">
        <v>69</v>
      </c>
      <c r="D239" t="s">
        <v>18</v>
      </c>
      <c r="E239">
        <v>0</v>
      </c>
      <c r="G239" s="2">
        <v>0</v>
      </c>
      <c r="J239" s="8" t="e">
        <f t="shared" si="2"/>
        <v>#DIV/0!</v>
      </c>
    </row>
    <row r="240" spans="1:10" hidden="1" x14ac:dyDescent="0.3">
      <c r="A240" s="1">
        <v>46171</v>
      </c>
      <c r="B240" t="s">
        <v>14</v>
      </c>
      <c r="C240" t="s">
        <v>68</v>
      </c>
      <c r="D240" t="s">
        <v>12</v>
      </c>
      <c r="E240">
        <v>0</v>
      </c>
      <c r="G240" s="2">
        <v>0</v>
      </c>
      <c r="J240" s="8" t="e">
        <f t="shared" si="2"/>
        <v>#DIV/0!</v>
      </c>
    </row>
    <row r="241" spans="1:10" hidden="1" x14ac:dyDescent="0.3">
      <c r="A241" s="1">
        <v>46171</v>
      </c>
      <c r="B241" t="s">
        <v>9</v>
      </c>
      <c r="C241" t="s">
        <v>70</v>
      </c>
      <c r="D241" t="s">
        <v>13</v>
      </c>
      <c r="E241">
        <v>0</v>
      </c>
      <c r="G241" s="2">
        <v>0</v>
      </c>
      <c r="J241" s="8" t="e">
        <f t="shared" si="2"/>
        <v>#DIV/0!</v>
      </c>
    </row>
    <row r="242" spans="1:10" hidden="1" x14ac:dyDescent="0.3">
      <c r="A242" s="1">
        <v>46171</v>
      </c>
      <c r="B242" t="s">
        <v>28</v>
      </c>
      <c r="C242" t="s">
        <v>46</v>
      </c>
      <c r="D242" t="s">
        <v>15</v>
      </c>
      <c r="E242">
        <v>0</v>
      </c>
      <c r="G242" s="2">
        <v>0</v>
      </c>
      <c r="J242" s="8" t="e">
        <f t="shared" si="2"/>
        <v>#DIV/0!</v>
      </c>
    </row>
    <row r="243" spans="1:10" hidden="1" x14ac:dyDescent="0.3">
      <c r="A243" s="1">
        <v>46171</v>
      </c>
      <c r="B243" t="s">
        <v>43</v>
      </c>
      <c r="C243" t="s">
        <v>71</v>
      </c>
      <c r="D243" t="s">
        <v>43</v>
      </c>
      <c r="E243">
        <v>0</v>
      </c>
      <c r="G243" s="2">
        <v>0</v>
      </c>
      <c r="J243" s="8" t="e">
        <f t="shared" si="2"/>
        <v>#DIV/0!</v>
      </c>
    </row>
    <row r="244" spans="1:10" hidden="1" x14ac:dyDescent="0.3">
      <c r="A244" s="1">
        <v>46171</v>
      </c>
      <c r="B244" t="s">
        <v>44</v>
      </c>
      <c r="C244" t="s">
        <v>72</v>
      </c>
      <c r="D244" t="s">
        <v>44</v>
      </c>
      <c r="E244">
        <v>0</v>
      </c>
      <c r="G244" s="2">
        <v>0</v>
      </c>
      <c r="J244" s="8" t="e">
        <f t="shared" si="2"/>
        <v>#DIV/0!</v>
      </c>
    </row>
    <row r="245" spans="1:10" hidden="1" x14ac:dyDescent="0.3">
      <c r="A245" s="1">
        <v>46171</v>
      </c>
      <c r="B245" t="s">
        <v>45</v>
      </c>
      <c r="C245" t="s">
        <v>73</v>
      </c>
      <c r="D245" t="s">
        <v>45</v>
      </c>
      <c r="E245">
        <v>0</v>
      </c>
      <c r="G245" s="2">
        <v>0</v>
      </c>
      <c r="J245" s="8" t="e">
        <f t="shared" si="2"/>
        <v>#DIV/0!</v>
      </c>
    </row>
    <row r="246" spans="1:10" hidden="1" x14ac:dyDescent="0.3">
      <c r="A246" s="1">
        <v>46171</v>
      </c>
      <c r="B246" t="s">
        <v>30</v>
      </c>
      <c r="C246" t="s">
        <v>74</v>
      </c>
      <c r="D246" t="s">
        <v>30</v>
      </c>
      <c r="E246">
        <v>0</v>
      </c>
      <c r="G246" s="2">
        <v>0</v>
      </c>
      <c r="J246" s="8" t="e">
        <f t="shared" si="2"/>
        <v>#DIV/0!</v>
      </c>
    </row>
    <row r="247" spans="1:10" hidden="1" x14ac:dyDescent="0.3">
      <c r="A247" s="1">
        <v>46171</v>
      </c>
      <c r="B247" t="s">
        <v>3</v>
      </c>
      <c r="C247" t="s">
        <v>56</v>
      </c>
      <c r="D247" t="s">
        <v>3</v>
      </c>
      <c r="E247">
        <v>0</v>
      </c>
      <c r="G247" s="2">
        <v>0</v>
      </c>
      <c r="J247" s="8" t="e">
        <f t="shared" si="2"/>
        <v>#DIV/0!</v>
      </c>
    </row>
    <row r="248" spans="1:10" hidden="1" x14ac:dyDescent="0.3">
      <c r="A248" s="1">
        <v>46171</v>
      </c>
      <c r="B248" t="s">
        <v>60</v>
      </c>
      <c r="C248" t="s">
        <v>75</v>
      </c>
      <c r="D248" t="s">
        <v>61</v>
      </c>
      <c r="E248">
        <v>0</v>
      </c>
      <c r="G248" s="2">
        <v>0</v>
      </c>
      <c r="J248" s="8" t="e">
        <f t="shared" si="2"/>
        <v>#DIV/0!</v>
      </c>
    </row>
    <row r="249" spans="1:10" hidden="1" x14ac:dyDescent="0.3">
      <c r="A249" s="1">
        <v>46171</v>
      </c>
      <c r="B249" t="s">
        <v>62</v>
      </c>
      <c r="C249" t="s">
        <v>65</v>
      </c>
      <c r="D249" t="s">
        <v>62</v>
      </c>
      <c r="E249">
        <v>0</v>
      </c>
      <c r="G249" s="2">
        <v>0</v>
      </c>
      <c r="J249" s="8" t="e">
        <f t="shared" si="2"/>
        <v>#DIV/0!</v>
      </c>
    </row>
    <row r="250" spans="1:10" hidden="1" x14ac:dyDescent="0.3">
      <c r="A250" s="1">
        <v>46171</v>
      </c>
      <c r="B250" t="s">
        <v>63</v>
      </c>
      <c r="C250" t="s">
        <v>65</v>
      </c>
      <c r="D250" t="s">
        <v>63</v>
      </c>
      <c r="E250">
        <v>0</v>
      </c>
      <c r="G250" s="2">
        <v>0</v>
      </c>
      <c r="J250" s="8" t="e">
        <f t="shared" si="2"/>
        <v>#DIV/0!</v>
      </c>
    </row>
    <row r="251" spans="1:10" hidden="1" x14ac:dyDescent="0.3">
      <c r="A251" s="1">
        <v>46171</v>
      </c>
      <c r="B251" t="s">
        <v>64</v>
      </c>
      <c r="C251" t="s">
        <v>66</v>
      </c>
      <c r="D251" t="s">
        <v>64</v>
      </c>
      <c r="E251">
        <v>0</v>
      </c>
      <c r="G251" s="2">
        <v>0</v>
      </c>
      <c r="J251" s="8" t="e">
        <f t="shared" si="2"/>
        <v>#DIV/0!</v>
      </c>
    </row>
    <row r="252" spans="1:10" hidden="1" x14ac:dyDescent="0.3">
      <c r="A252" s="1">
        <v>46172</v>
      </c>
      <c r="B252" t="s">
        <v>16</v>
      </c>
      <c r="C252" t="s">
        <v>69</v>
      </c>
      <c r="D252" t="s">
        <v>18</v>
      </c>
      <c r="E252">
        <v>0</v>
      </c>
      <c r="G252" s="2">
        <v>0</v>
      </c>
      <c r="J252" s="8" t="e">
        <f t="shared" si="2"/>
        <v>#DIV/0!</v>
      </c>
    </row>
    <row r="253" spans="1:10" hidden="1" x14ac:dyDescent="0.3">
      <c r="A253" s="1">
        <v>46172</v>
      </c>
      <c r="B253" t="s">
        <v>14</v>
      </c>
      <c r="C253" t="s">
        <v>68</v>
      </c>
      <c r="D253" t="s">
        <v>12</v>
      </c>
      <c r="E253">
        <v>0</v>
      </c>
      <c r="G253" s="2">
        <v>0</v>
      </c>
      <c r="J253" s="8" t="e">
        <f t="shared" si="2"/>
        <v>#DIV/0!</v>
      </c>
    </row>
    <row r="254" spans="1:10" hidden="1" x14ac:dyDescent="0.3">
      <c r="A254" s="1">
        <v>46172</v>
      </c>
      <c r="B254" t="s">
        <v>9</v>
      </c>
      <c r="C254" t="s">
        <v>70</v>
      </c>
      <c r="D254" t="s">
        <v>13</v>
      </c>
      <c r="E254">
        <v>0</v>
      </c>
      <c r="G254" s="2">
        <v>0</v>
      </c>
      <c r="J254" s="8" t="e">
        <f t="shared" si="2"/>
        <v>#DIV/0!</v>
      </c>
    </row>
    <row r="255" spans="1:10" hidden="1" x14ac:dyDescent="0.3">
      <c r="A255" s="1">
        <v>46172</v>
      </c>
      <c r="B255" t="s">
        <v>28</v>
      </c>
      <c r="C255" t="s">
        <v>46</v>
      </c>
      <c r="D255" t="s">
        <v>15</v>
      </c>
      <c r="E255">
        <v>0</v>
      </c>
      <c r="G255" s="2">
        <v>0</v>
      </c>
      <c r="J255" s="8" t="e">
        <f t="shared" si="2"/>
        <v>#DIV/0!</v>
      </c>
    </row>
    <row r="256" spans="1:10" hidden="1" x14ac:dyDescent="0.3">
      <c r="A256" s="1">
        <v>46172</v>
      </c>
      <c r="B256" t="s">
        <v>43</v>
      </c>
      <c r="C256" t="s">
        <v>71</v>
      </c>
      <c r="D256" t="s">
        <v>43</v>
      </c>
      <c r="E256">
        <v>0</v>
      </c>
      <c r="G256" s="2">
        <v>0</v>
      </c>
      <c r="J256" s="8" t="e">
        <f t="shared" si="2"/>
        <v>#DIV/0!</v>
      </c>
    </row>
    <row r="257" spans="1:10" hidden="1" x14ac:dyDescent="0.3">
      <c r="A257" s="1">
        <v>46172</v>
      </c>
      <c r="B257" t="s">
        <v>44</v>
      </c>
      <c r="C257" t="s">
        <v>72</v>
      </c>
      <c r="D257" t="s">
        <v>44</v>
      </c>
      <c r="E257">
        <v>0</v>
      </c>
      <c r="G257" s="2">
        <v>0</v>
      </c>
      <c r="J257" s="8" t="e">
        <f t="shared" si="2"/>
        <v>#DIV/0!</v>
      </c>
    </row>
    <row r="258" spans="1:10" hidden="1" x14ac:dyDescent="0.3">
      <c r="A258" s="1">
        <v>46172</v>
      </c>
      <c r="B258" t="s">
        <v>45</v>
      </c>
      <c r="C258" t="s">
        <v>73</v>
      </c>
      <c r="D258" t="s">
        <v>45</v>
      </c>
      <c r="E258">
        <v>0</v>
      </c>
      <c r="G258" s="2">
        <v>0</v>
      </c>
      <c r="J258" s="8" t="e">
        <f t="shared" si="2"/>
        <v>#DIV/0!</v>
      </c>
    </row>
    <row r="259" spans="1:10" hidden="1" x14ac:dyDescent="0.3">
      <c r="A259" s="1">
        <v>46172</v>
      </c>
      <c r="B259" t="s">
        <v>30</v>
      </c>
      <c r="C259" t="s">
        <v>74</v>
      </c>
      <c r="D259" t="s">
        <v>30</v>
      </c>
      <c r="E259">
        <v>0</v>
      </c>
      <c r="G259" s="2">
        <v>0</v>
      </c>
      <c r="J259" s="8" t="e">
        <f t="shared" si="2"/>
        <v>#DIV/0!</v>
      </c>
    </row>
    <row r="260" spans="1:10" hidden="1" x14ac:dyDescent="0.3">
      <c r="A260" s="1">
        <v>46172</v>
      </c>
      <c r="B260" t="s">
        <v>3</v>
      </c>
      <c r="C260" t="s">
        <v>56</v>
      </c>
      <c r="D260" t="s">
        <v>3</v>
      </c>
      <c r="E260">
        <v>0</v>
      </c>
      <c r="G260" s="2">
        <v>0</v>
      </c>
      <c r="J260" s="8" t="e">
        <f t="shared" si="2"/>
        <v>#DIV/0!</v>
      </c>
    </row>
    <row r="261" spans="1:10" hidden="1" x14ac:dyDescent="0.3">
      <c r="A261" s="1">
        <v>46172</v>
      </c>
      <c r="B261" t="s">
        <v>60</v>
      </c>
      <c r="C261" t="s">
        <v>75</v>
      </c>
      <c r="D261" t="s">
        <v>61</v>
      </c>
      <c r="E261">
        <v>0</v>
      </c>
      <c r="G261" s="2">
        <v>0</v>
      </c>
      <c r="J261" s="8" t="e">
        <f t="shared" si="2"/>
        <v>#DIV/0!</v>
      </c>
    </row>
    <row r="262" spans="1:10" hidden="1" x14ac:dyDescent="0.3">
      <c r="A262" s="1">
        <v>46172</v>
      </c>
      <c r="B262" t="s">
        <v>62</v>
      </c>
      <c r="C262" t="s">
        <v>65</v>
      </c>
      <c r="D262" t="s">
        <v>62</v>
      </c>
      <c r="E262">
        <v>0</v>
      </c>
      <c r="G262" s="2">
        <v>0</v>
      </c>
      <c r="J262" s="8" t="e">
        <f t="shared" si="2"/>
        <v>#DIV/0!</v>
      </c>
    </row>
    <row r="263" spans="1:10" hidden="1" x14ac:dyDescent="0.3">
      <c r="A263" s="1">
        <v>46172</v>
      </c>
      <c r="B263" t="s">
        <v>63</v>
      </c>
      <c r="C263" t="s">
        <v>65</v>
      </c>
      <c r="D263" t="s">
        <v>63</v>
      </c>
      <c r="E263">
        <v>0</v>
      </c>
      <c r="G263" s="2">
        <v>0</v>
      </c>
      <c r="J263" s="8" t="e">
        <f t="shared" si="2"/>
        <v>#DIV/0!</v>
      </c>
    </row>
    <row r="264" spans="1:10" hidden="1" x14ac:dyDescent="0.3">
      <c r="A264" s="1">
        <v>46172</v>
      </c>
      <c r="B264" t="s">
        <v>64</v>
      </c>
      <c r="C264" t="s">
        <v>66</v>
      </c>
      <c r="D264" t="s">
        <v>64</v>
      </c>
      <c r="E264">
        <v>0</v>
      </c>
      <c r="G264" s="2">
        <v>0</v>
      </c>
      <c r="J264" s="8" t="e">
        <f t="shared" si="2"/>
        <v>#DIV/0!</v>
      </c>
    </row>
    <row r="265" spans="1:10" hidden="1" x14ac:dyDescent="0.3">
      <c r="A265" s="1">
        <v>46173</v>
      </c>
      <c r="B265" t="s">
        <v>16</v>
      </c>
      <c r="C265" t="s">
        <v>69</v>
      </c>
      <c r="D265" t="s">
        <v>18</v>
      </c>
      <c r="E265">
        <v>0</v>
      </c>
      <c r="G265" s="2">
        <v>0</v>
      </c>
      <c r="J265" s="8" t="e">
        <f t="shared" si="2"/>
        <v>#DIV/0!</v>
      </c>
    </row>
    <row r="266" spans="1:10" hidden="1" x14ac:dyDescent="0.3">
      <c r="A266" s="1">
        <v>46173</v>
      </c>
      <c r="B266" t="s">
        <v>14</v>
      </c>
      <c r="C266" t="s">
        <v>68</v>
      </c>
      <c r="D266" t="s">
        <v>12</v>
      </c>
      <c r="E266">
        <v>0</v>
      </c>
      <c r="G266" s="2">
        <v>0</v>
      </c>
      <c r="J266" s="8" t="e">
        <f t="shared" si="2"/>
        <v>#DIV/0!</v>
      </c>
    </row>
    <row r="267" spans="1:10" hidden="1" x14ac:dyDescent="0.3">
      <c r="A267" s="1">
        <v>46173</v>
      </c>
      <c r="B267" t="s">
        <v>9</v>
      </c>
      <c r="C267" t="s">
        <v>70</v>
      </c>
      <c r="D267" t="s">
        <v>13</v>
      </c>
      <c r="E267">
        <v>0</v>
      </c>
      <c r="G267" s="2">
        <v>0</v>
      </c>
      <c r="J267" s="8" t="e">
        <f t="shared" si="2"/>
        <v>#DIV/0!</v>
      </c>
    </row>
    <row r="268" spans="1:10" hidden="1" x14ac:dyDescent="0.3">
      <c r="A268" s="1">
        <v>46173</v>
      </c>
      <c r="B268" t="s">
        <v>28</v>
      </c>
      <c r="C268" t="s">
        <v>46</v>
      </c>
      <c r="D268" t="s">
        <v>15</v>
      </c>
      <c r="E268">
        <v>0</v>
      </c>
      <c r="G268" s="2">
        <v>0</v>
      </c>
      <c r="J268" s="8" t="e">
        <f t="shared" si="2"/>
        <v>#DIV/0!</v>
      </c>
    </row>
    <row r="269" spans="1:10" hidden="1" x14ac:dyDescent="0.3">
      <c r="A269" s="1">
        <v>46173</v>
      </c>
      <c r="B269" t="s">
        <v>43</v>
      </c>
      <c r="C269" t="s">
        <v>71</v>
      </c>
      <c r="D269" t="s">
        <v>43</v>
      </c>
      <c r="E269">
        <v>0</v>
      </c>
      <c r="G269" s="2">
        <v>0</v>
      </c>
      <c r="J269" s="8" t="e">
        <f t="shared" si="2"/>
        <v>#DIV/0!</v>
      </c>
    </row>
    <row r="270" spans="1:10" hidden="1" x14ac:dyDescent="0.3">
      <c r="A270" s="1">
        <v>46173</v>
      </c>
      <c r="B270" t="s">
        <v>44</v>
      </c>
      <c r="C270" t="s">
        <v>72</v>
      </c>
      <c r="D270" t="s">
        <v>44</v>
      </c>
      <c r="E270">
        <v>0</v>
      </c>
      <c r="G270" s="2">
        <v>0</v>
      </c>
      <c r="J270" s="8" t="e">
        <f t="shared" si="2"/>
        <v>#DIV/0!</v>
      </c>
    </row>
    <row r="271" spans="1:10" hidden="1" x14ac:dyDescent="0.3">
      <c r="A271" s="1">
        <v>46173</v>
      </c>
      <c r="B271" t="s">
        <v>45</v>
      </c>
      <c r="C271" t="s">
        <v>73</v>
      </c>
      <c r="D271" t="s">
        <v>45</v>
      </c>
      <c r="E271">
        <v>0</v>
      </c>
      <c r="G271" s="2">
        <v>0</v>
      </c>
      <c r="J271" s="8" t="e">
        <f t="shared" si="2"/>
        <v>#DIV/0!</v>
      </c>
    </row>
    <row r="272" spans="1:10" hidden="1" x14ac:dyDescent="0.3">
      <c r="A272" s="1">
        <v>46173</v>
      </c>
      <c r="B272" t="s">
        <v>30</v>
      </c>
      <c r="C272" t="s">
        <v>74</v>
      </c>
      <c r="D272" t="s">
        <v>30</v>
      </c>
      <c r="E272">
        <v>0</v>
      </c>
      <c r="G272" s="2">
        <v>0</v>
      </c>
      <c r="J272" s="8" t="e">
        <f t="shared" si="2"/>
        <v>#DIV/0!</v>
      </c>
    </row>
    <row r="273" spans="1:10" hidden="1" x14ac:dyDescent="0.3">
      <c r="A273" s="1">
        <v>46173</v>
      </c>
      <c r="B273" t="s">
        <v>3</v>
      </c>
      <c r="C273" t="s">
        <v>56</v>
      </c>
      <c r="D273" t="s">
        <v>3</v>
      </c>
      <c r="E273">
        <v>0</v>
      </c>
      <c r="G273" s="2">
        <v>0</v>
      </c>
      <c r="J273" s="8" t="e">
        <f t="shared" si="2"/>
        <v>#DIV/0!</v>
      </c>
    </row>
    <row r="274" spans="1:10" hidden="1" x14ac:dyDescent="0.3">
      <c r="A274" s="1">
        <v>46173</v>
      </c>
      <c r="B274" t="s">
        <v>60</v>
      </c>
      <c r="C274" t="s">
        <v>75</v>
      </c>
      <c r="D274" t="s">
        <v>61</v>
      </c>
      <c r="E274">
        <v>0</v>
      </c>
      <c r="G274" s="2">
        <v>0</v>
      </c>
      <c r="J274" s="8" t="e">
        <f t="shared" si="2"/>
        <v>#DIV/0!</v>
      </c>
    </row>
    <row r="275" spans="1:10" hidden="1" x14ac:dyDescent="0.3">
      <c r="A275" s="1">
        <v>46173</v>
      </c>
      <c r="B275" t="s">
        <v>62</v>
      </c>
      <c r="C275" t="s">
        <v>65</v>
      </c>
      <c r="D275" t="s">
        <v>62</v>
      </c>
      <c r="E275">
        <v>0</v>
      </c>
      <c r="G275" s="2">
        <v>0</v>
      </c>
      <c r="J275" s="8" t="e">
        <f t="shared" si="2"/>
        <v>#DIV/0!</v>
      </c>
    </row>
    <row r="276" spans="1:10" hidden="1" x14ac:dyDescent="0.3">
      <c r="A276" s="1">
        <v>46173</v>
      </c>
      <c r="B276" t="s">
        <v>63</v>
      </c>
      <c r="C276" t="s">
        <v>65</v>
      </c>
      <c r="D276" t="s">
        <v>63</v>
      </c>
      <c r="E276">
        <v>0</v>
      </c>
      <c r="G276" s="2">
        <v>0</v>
      </c>
      <c r="J276" s="8" t="e">
        <f t="shared" si="2"/>
        <v>#DIV/0!</v>
      </c>
    </row>
    <row r="277" spans="1:10" hidden="1" x14ac:dyDescent="0.3">
      <c r="A277" s="1">
        <v>46173</v>
      </c>
      <c r="B277" t="s">
        <v>64</v>
      </c>
      <c r="C277" t="s">
        <v>66</v>
      </c>
      <c r="D277" t="s">
        <v>64</v>
      </c>
      <c r="E277">
        <v>0</v>
      </c>
      <c r="G277" s="2">
        <v>0</v>
      </c>
      <c r="J277" s="8" t="e">
        <f t="shared" si="2"/>
        <v>#DIV/0!</v>
      </c>
    </row>
    <row r="278" spans="1:10" hidden="1" x14ac:dyDescent="0.3">
      <c r="A278" s="1">
        <v>46174</v>
      </c>
      <c r="B278" t="s">
        <v>16</v>
      </c>
      <c r="C278" t="s">
        <v>85</v>
      </c>
      <c r="D278" t="s">
        <v>18</v>
      </c>
      <c r="E278">
        <v>0</v>
      </c>
      <c r="J278" s="8">
        <f>IF(Tableau3[[#This Row],[prospet]]=0,0,Tableau3[[#This Row],[Ventes]]/Tableau3[[#This Row],[prospet]])</f>
        <v>0</v>
      </c>
    </row>
    <row r="279" spans="1:10" hidden="1" x14ac:dyDescent="0.3">
      <c r="A279" s="1">
        <v>46174</v>
      </c>
      <c r="B279" t="s">
        <v>14</v>
      </c>
      <c r="C279" t="s">
        <v>29</v>
      </c>
      <c r="D279" t="s">
        <v>12</v>
      </c>
      <c r="E279">
        <v>0</v>
      </c>
      <c r="J279" s="8">
        <f>IF(Tableau3[[#This Row],[prospet]]=0,0,Tableau3[[#This Row],[Ventes]]/Tableau3[[#This Row],[prospet]])</f>
        <v>0</v>
      </c>
    </row>
    <row r="280" spans="1:10" hidden="1" x14ac:dyDescent="0.3">
      <c r="A280" s="1">
        <v>46174</v>
      </c>
      <c r="B280" t="s">
        <v>9</v>
      </c>
      <c r="C280" t="s">
        <v>86</v>
      </c>
      <c r="D280" t="s">
        <v>13</v>
      </c>
      <c r="E280">
        <v>0</v>
      </c>
      <c r="F280">
        <v>2</v>
      </c>
      <c r="H280">
        <f>4000+12500</f>
        <v>16500</v>
      </c>
      <c r="I280">
        <f>1000+1250</f>
        <v>2250</v>
      </c>
      <c r="J280" s="8">
        <f>IF(Tableau3[[#This Row],[prospet]]=0,0,Tableau3[[#This Row],[Ventes]]/Tableau3[[#This Row],[prospet]])</f>
        <v>0</v>
      </c>
    </row>
    <row r="281" spans="1:10" hidden="1" x14ac:dyDescent="0.3">
      <c r="A281" s="1">
        <v>46174</v>
      </c>
      <c r="B281" t="s">
        <v>28</v>
      </c>
      <c r="C281" t="s">
        <v>87</v>
      </c>
      <c r="D281" t="s">
        <v>15</v>
      </c>
      <c r="E281">
        <v>0</v>
      </c>
      <c r="J281" s="8">
        <f>IF(Tableau3[[#This Row],[prospet]]=0,0,Tableau3[[#This Row],[Ventes]]/Tableau3[[#This Row],[prospet]])</f>
        <v>0</v>
      </c>
    </row>
    <row r="282" spans="1:10" hidden="1" x14ac:dyDescent="0.3">
      <c r="A282" s="1">
        <v>46174</v>
      </c>
      <c r="B282" t="s">
        <v>43</v>
      </c>
      <c r="C282" t="s">
        <v>11</v>
      </c>
      <c r="D282" t="s">
        <v>43</v>
      </c>
      <c r="E282">
        <v>0</v>
      </c>
      <c r="J282" s="8">
        <f>IF(Tableau3[[#This Row],[prospet]]=0,0,Tableau3[[#This Row],[Ventes]]/Tableau3[[#This Row],[prospet]])</f>
        <v>0</v>
      </c>
    </row>
    <row r="283" spans="1:10" hidden="1" x14ac:dyDescent="0.3">
      <c r="A283" s="1">
        <v>46174</v>
      </c>
      <c r="B283" t="s">
        <v>44</v>
      </c>
      <c r="D283" t="s">
        <v>44</v>
      </c>
      <c r="E283">
        <v>0</v>
      </c>
      <c r="J283" s="8">
        <f>IF(Tableau3[[#This Row],[prospet]]=0,0,Tableau3[[#This Row],[Ventes]]/Tableau3[[#This Row],[prospet]])</f>
        <v>0</v>
      </c>
    </row>
    <row r="284" spans="1:10" hidden="1" x14ac:dyDescent="0.3">
      <c r="A284" s="1">
        <v>46174</v>
      </c>
      <c r="B284" t="s">
        <v>45</v>
      </c>
      <c r="D284" t="s">
        <v>45</v>
      </c>
      <c r="E284">
        <v>0</v>
      </c>
      <c r="J284" s="8">
        <f>IF(Tableau3[[#This Row],[prospet]]=0,0,Tableau3[[#This Row],[Ventes]]/Tableau3[[#This Row],[prospet]])</f>
        <v>0</v>
      </c>
    </row>
    <row r="285" spans="1:10" hidden="1" x14ac:dyDescent="0.3">
      <c r="A285" s="1">
        <v>46174</v>
      </c>
      <c r="B285" t="s">
        <v>30</v>
      </c>
      <c r="C285" t="s">
        <v>88</v>
      </c>
      <c r="D285" t="s">
        <v>30</v>
      </c>
      <c r="E285">
        <v>0</v>
      </c>
      <c r="F285">
        <v>3</v>
      </c>
      <c r="H285">
        <f>20000+25000</f>
        <v>45000</v>
      </c>
      <c r="I285">
        <f>2500+2500+2000</f>
        <v>7000</v>
      </c>
      <c r="J285" s="8">
        <f>IF(Tableau3[[#This Row],[prospet]]=0,0,Tableau3[[#This Row],[Ventes]]/Tableau3[[#This Row],[prospet]])</f>
        <v>0</v>
      </c>
    </row>
    <row r="286" spans="1:10" hidden="1" x14ac:dyDescent="0.3">
      <c r="A286" s="1">
        <v>46174</v>
      </c>
      <c r="B286" t="s">
        <v>3</v>
      </c>
      <c r="C286" t="s">
        <v>89</v>
      </c>
      <c r="D286" t="s">
        <v>3</v>
      </c>
      <c r="E286">
        <v>0</v>
      </c>
      <c r="F286">
        <v>3</v>
      </c>
      <c r="H286">
        <v>10000</v>
      </c>
      <c r="I286">
        <v>3000</v>
      </c>
      <c r="J286" s="8">
        <f>IF(Tableau3[[#This Row],[prospet]]=0,0,Tableau3[[#This Row],[Ventes]]/Tableau3[[#This Row],[prospet]])</f>
        <v>0</v>
      </c>
    </row>
    <row r="287" spans="1:10" hidden="1" x14ac:dyDescent="0.3">
      <c r="A287" s="1">
        <v>46174</v>
      </c>
      <c r="B287" t="s">
        <v>60</v>
      </c>
      <c r="C287" t="s">
        <v>85</v>
      </c>
      <c r="D287" t="s">
        <v>61</v>
      </c>
      <c r="E287">
        <v>0</v>
      </c>
      <c r="F287">
        <v>3</v>
      </c>
      <c r="H287">
        <v>10000</v>
      </c>
      <c r="I287">
        <v>3000</v>
      </c>
      <c r="J287" s="8">
        <f>IF(Tableau3[[#This Row],[prospet]]=0,0,Tableau3[[#This Row],[Ventes]]/Tableau3[[#This Row],[prospet]])</f>
        <v>0</v>
      </c>
    </row>
    <row r="288" spans="1:10" hidden="1" x14ac:dyDescent="0.3">
      <c r="A288" s="1">
        <v>46174</v>
      </c>
      <c r="B288" t="s">
        <v>62</v>
      </c>
      <c r="C288" t="s">
        <v>90</v>
      </c>
      <c r="D288" t="s">
        <v>62</v>
      </c>
      <c r="E288">
        <v>0</v>
      </c>
      <c r="F288">
        <v>3</v>
      </c>
      <c r="H288">
        <v>31500</v>
      </c>
      <c r="I288">
        <v>4750</v>
      </c>
      <c r="J288" s="8">
        <f>IF(Tableau3[[#This Row],[prospet]]=0,0,Tableau3[[#This Row],[Ventes]]/Tableau3[[#This Row],[prospet]])</f>
        <v>0</v>
      </c>
    </row>
    <row r="289" spans="1:10" hidden="1" x14ac:dyDescent="0.3">
      <c r="A289" s="1">
        <v>46174</v>
      </c>
      <c r="B289" t="s">
        <v>63</v>
      </c>
      <c r="C289" t="s">
        <v>91</v>
      </c>
      <c r="D289" t="s">
        <v>154</v>
      </c>
      <c r="E289">
        <v>0</v>
      </c>
      <c r="F289">
        <v>0</v>
      </c>
      <c r="H289">
        <v>0</v>
      </c>
      <c r="I289">
        <v>0</v>
      </c>
      <c r="J289" s="8">
        <f>IF(Tableau3[[#This Row],[prospet]]=0,0,Tableau3[[#This Row],[Ventes]]/Tableau3[[#This Row],[prospet]])</f>
        <v>0</v>
      </c>
    </row>
    <row r="290" spans="1:10" hidden="1" x14ac:dyDescent="0.3">
      <c r="A290" s="1">
        <v>46174</v>
      </c>
      <c r="B290" t="s">
        <v>64</v>
      </c>
      <c r="C290" t="s">
        <v>29</v>
      </c>
      <c r="D290" t="s">
        <v>64</v>
      </c>
      <c r="E290">
        <v>0</v>
      </c>
      <c r="F290">
        <v>1</v>
      </c>
      <c r="G290" s="2">
        <v>0</v>
      </c>
      <c r="H290">
        <v>12500</v>
      </c>
      <c r="I290">
        <v>2500</v>
      </c>
      <c r="J290" s="8">
        <f>IF(Tableau3[[#This Row],[prospet]]=0,0,Tableau3[[#This Row],[Ventes]]/Tableau3[[#This Row],[prospet]])</f>
        <v>0</v>
      </c>
    </row>
    <row r="291" spans="1:10" hidden="1" x14ac:dyDescent="0.3">
      <c r="A291" s="1">
        <v>46175</v>
      </c>
      <c r="B291" t="s">
        <v>16</v>
      </c>
      <c r="C291" t="s">
        <v>85</v>
      </c>
      <c r="D291" t="s">
        <v>18</v>
      </c>
      <c r="E291">
        <v>87</v>
      </c>
      <c r="G291" s="2">
        <f>5+1.66</f>
        <v>6.66</v>
      </c>
      <c r="J291" s="8">
        <f>IF(Tableau3[[#This Row],[prospet]]=0,0,Tableau3[[#This Row],[Ventes]]/Tableau3[[#This Row],[prospet]])</f>
        <v>0</v>
      </c>
    </row>
    <row r="292" spans="1:10" hidden="1" x14ac:dyDescent="0.3">
      <c r="A292" s="1">
        <v>46175</v>
      </c>
      <c r="B292" t="s">
        <v>9</v>
      </c>
      <c r="C292" t="s">
        <v>86</v>
      </c>
      <c r="D292" t="s">
        <v>13</v>
      </c>
      <c r="E292">
        <v>104</v>
      </c>
      <c r="F292">
        <v>3</v>
      </c>
      <c r="G292" s="2">
        <f>5.11+1.43</f>
        <v>6.54</v>
      </c>
      <c r="H292">
        <f>8000+12500</f>
        <v>20500</v>
      </c>
      <c r="I292">
        <f>2000+1250</f>
        <v>3250</v>
      </c>
      <c r="J292" s="8">
        <f>IF(Tableau3[[#This Row],[prospet]]=0,0,Tableau3[[#This Row],[Ventes]]/Tableau3[[#This Row],[prospet]])</f>
        <v>2.8846153846153848E-2</v>
      </c>
    </row>
    <row r="293" spans="1:10" hidden="1" x14ac:dyDescent="0.3">
      <c r="A293" s="1">
        <v>46175</v>
      </c>
      <c r="B293" t="s">
        <v>28</v>
      </c>
      <c r="C293" t="s">
        <v>179</v>
      </c>
      <c r="D293" t="s">
        <v>15</v>
      </c>
      <c r="E293">
        <v>2</v>
      </c>
      <c r="G293" s="2">
        <f>1.8+0.82</f>
        <v>2.62</v>
      </c>
      <c r="J293" s="8">
        <f>IF(Tableau3[[#This Row],[prospet]]=0,0,Tableau3[[#This Row],[Ventes]]/Tableau3[[#This Row],[prospet]])</f>
        <v>0</v>
      </c>
    </row>
    <row r="294" spans="1:10" hidden="1" x14ac:dyDescent="0.3">
      <c r="A294" s="1">
        <v>46175</v>
      </c>
      <c r="B294" t="s">
        <v>43</v>
      </c>
      <c r="C294" t="s">
        <v>11</v>
      </c>
      <c r="D294" t="s">
        <v>43</v>
      </c>
      <c r="E294">
        <v>34</v>
      </c>
      <c r="G294" s="2">
        <v>3.09</v>
      </c>
      <c r="J294" s="8">
        <f>IF(Tableau3[[#This Row],[prospet]]=0,0,Tableau3[[#This Row],[Ventes]]/Tableau3[[#This Row],[prospet]])</f>
        <v>0</v>
      </c>
    </row>
    <row r="295" spans="1:10" hidden="1" x14ac:dyDescent="0.3">
      <c r="A295" s="1">
        <v>46175</v>
      </c>
      <c r="B295" t="s">
        <v>44</v>
      </c>
      <c r="D295" t="s">
        <v>44</v>
      </c>
      <c r="E295">
        <v>0</v>
      </c>
      <c r="G295" s="2">
        <v>0</v>
      </c>
      <c r="J295" s="8">
        <f>IF(Tableau3[[#This Row],[prospet]]=0,0,Tableau3[[#This Row],[Ventes]]/Tableau3[[#This Row],[prospet]])</f>
        <v>0</v>
      </c>
    </row>
    <row r="296" spans="1:10" hidden="1" x14ac:dyDescent="0.3">
      <c r="A296" s="1">
        <v>46175</v>
      </c>
      <c r="B296" t="s">
        <v>45</v>
      </c>
      <c r="D296" t="s">
        <v>45</v>
      </c>
      <c r="E296">
        <v>0</v>
      </c>
      <c r="G296" s="2">
        <v>0</v>
      </c>
      <c r="J296" s="8">
        <f>IF(Tableau3[[#This Row],[prospet]]=0,0,Tableau3[[#This Row],[Ventes]]/Tableau3[[#This Row],[prospet]])</f>
        <v>0</v>
      </c>
    </row>
    <row r="297" spans="1:10" hidden="1" x14ac:dyDescent="0.3">
      <c r="A297" s="1">
        <v>46175</v>
      </c>
      <c r="B297" t="s">
        <v>30</v>
      </c>
      <c r="C297" t="s">
        <v>88</v>
      </c>
      <c r="D297" t="s">
        <v>30</v>
      </c>
      <c r="E297">
        <v>52</v>
      </c>
      <c r="F297">
        <v>1</v>
      </c>
      <c r="G297" s="2">
        <f>3.83+0.85</f>
        <v>4.68</v>
      </c>
      <c r="H297">
        <v>4000</v>
      </c>
      <c r="I297">
        <v>1000</v>
      </c>
      <c r="J297" s="8">
        <f>IF(Tableau3[[#This Row],[prospet]]=0,0,Tableau3[[#This Row],[Ventes]]/Tableau3[[#This Row],[prospet]])</f>
        <v>1.9230769230769232E-2</v>
      </c>
    </row>
    <row r="298" spans="1:10" hidden="1" x14ac:dyDescent="0.3">
      <c r="A298" s="1">
        <v>46175</v>
      </c>
      <c r="B298" t="s">
        <v>3</v>
      </c>
      <c r="C298" t="s">
        <v>89</v>
      </c>
      <c r="D298" t="s">
        <v>3</v>
      </c>
      <c r="E298">
        <v>13</v>
      </c>
      <c r="G298" s="2">
        <f>3.51+1.89</f>
        <v>5.3999999999999995</v>
      </c>
      <c r="J298" s="8">
        <f>IF(Tableau3[[#This Row],[prospet]]=0,0,Tableau3[[#This Row],[Ventes]]/Tableau3[[#This Row],[prospet]])</f>
        <v>0</v>
      </c>
    </row>
    <row r="299" spans="1:10" hidden="1" x14ac:dyDescent="0.3">
      <c r="A299" s="1">
        <v>46175</v>
      </c>
      <c r="B299" t="s">
        <v>60</v>
      </c>
      <c r="C299" t="s">
        <v>85</v>
      </c>
      <c r="D299" t="s">
        <v>61</v>
      </c>
      <c r="E299">
        <v>37</v>
      </c>
      <c r="G299" s="2">
        <f>2.99+1.87</f>
        <v>4.8600000000000003</v>
      </c>
      <c r="J299" s="8">
        <f>IF(Tableau3[[#This Row],[prospet]]=0,0,Tableau3[[#This Row],[Ventes]]/Tableau3[[#This Row],[prospet]])</f>
        <v>0</v>
      </c>
    </row>
    <row r="300" spans="1:10" hidden="1" x14ac:dyDescent="0.3">
      <c r="A300" s="1">
        <v>46175</v>
      </c>
      <c r="B300" t="s">
        <v>62</v>
      </c>
      <c r="C300" t="s">
        <v>90</v>
      </c>
      <c r="D300" t="s">
        <v>62</v>
      </c>
      <c r="E300">
        <v>50</v>
      </c>
      <c r="F300">
        <v>14</v>
      </c>
      <c r="G300" s="2">
        <f>3.72+0.74</f>
        <v>4.46</v>
      </c>
      <c r="H300">
        <v>56000</v>
      </c>
      <c r="I300">
        <v>14000</v>
      </c>
      <c r="J300" s="8">
        <f>IF(Tableau3[[#This Row],[prospet]]=0,0,Tableau3[[#This Row],[Ventes]]/Tableau3[[#This Row],[prospet]])</f>
        <v>0.28000000000000003</v>
      </c>
    </row>
    <row r="301" spans="1:10" hidden="1" x14ac:dyDescent="0.3">
      <c r="A301" s="1">
        <v>46175</v>
      </c>
      <c r="B301" t="s">
        <v>63</v>
      </c>
      <c r="C301" t="s">
        <v>91</v>
      </c>
      <c r="D301" t="s">
        <v>154</v>
      </c>
      <c r="E301">
        <v>90</v>
      </c>
      <c r="F301">
        <v>2</v>
      </c>
      <c r="G301" s="2">
        <f>3.07+1.3</f>
        <v>4.37</v>
      </c>
      <c r="H301">
        <f>10000+12500</f>
        <v>22500</v>
      </c>
      <c r="I301">
        <f>2500+1250</f>
        <v>3750</v>
      </c>
      <c r="J301" s="8">
        <f>IF(Tableau3[[#This Row],[prospet]]=0,0,Tableau3[[#This Row],[Ventes]]/Tableau3[[#This Row],[prospet]])</f>
        <v>2.2222222222222223E-2</v>
      </c>
    </row>
    <row r="302" spans="1:10" hidden="1" x14ac:dyDescent="0.3">
      <c r="A302" s="1">
        <v>46175</v>
      </c>
      <c r="B302" t="s">
        <v>64</v>
      </c>
      <c r="C302" t="s">
        <v>29</v>
      </c>
      <c r="D302" t="s">
        <v>64</v>
      </c>
      <c r="E302">
        <v>7</v>
      </c>
      <c r="F302">
        <v>1</v>
      </c>
      <c r="G302" s="2">
        <v>0</v>
      </c>
      <c r="H302">
        <v>12500</v>
      </c>
      <c r="I302">
        <v>2500</v>
      </c>
      <c r="J302" s="8">
        <f>IF(Tableau3[[#This Row],[prospet]]=0,0,Tableau3[[#This Row],[Ventes]]/Tableau3[[#This Row],[prospet]])</f>
        <v>0.14285714285714285</v>
      </c>
    </row>
    <row r="303" spans="1:10" hidden="1" x14ac:dyDescent="0.3">
      <c r="A303" s="1">
        <v>46175</v>
      </c>
      <c r="B303" t="s">
        <v>81</v>
      </c>
      <c r="C303" t="s">
        <v>92</v>
      </c>
      <c r="D303" t="s">
        <v>81</v>
      </c>
      <c r="E303">
        <v>23</v>
      </c>
      <c r="G303" s="2">
        <v>1.81</v>
      </c>
      <c r="J303" s="8">
        <f>IF(Tableau3[[#This Row],[prospet]]=0,0,Tableau3[[#This Row],[Ventes]]/Tableau3[[#This Row],[prospet]])</f>
        <v>0</v>
      </c>
    </row>
    <row r="304" spans="1:10" hidden="1" x14ac:dyDescent="0.3">
      <c r="A304" s="1">
        <v>46175</v>
      </c>
      <c r="B304" t="s">
        <v>82</v>
      </c>
      <c r="C304" t="s">
        <v>11</v>
      </c>
      <c r="D304" t="s">
        <v>82</v>
      </c>
      <c r="E304">
        <v>15</v>
      </c>
      <c r="G304" s="2">
        <v>1.67</v>
      </c>
      <c r="J304" s="8">
        <f>IF(Tableau3[[#This Row],[prospet]]=0,0,Tableau3[[#This Row],[Ventes]]/Tableau3[[#This Row],[prospet]])</f>
        <v>0</v>
      </c>
    </row>
    <row r="305" spans="1:11" hidden="1" x14ac:dyDescent="0.3">
      <c r="A305" s="1">
        <v>46175</v>
      </c>
      <c r="B305" t="s">
        <v>97</v>
      </c>
      <c r="C305" t="s">
        <v>93</v>
      </c>
      <c r="D305" t="s">
        <v>97</v>
      </c>
      <c r="E305">
        <v>47</v>
      </c>
      <c r="G305" s="2">
        <f>2.77+0.43</f>
        <v>3.2</v>
      </c>
      <c r="J305" s="8">
        <f>IF(Tableau3[[#This Row],[prospet]]=0,0,Tableau3[[#This Row],[Ventes]]/Tableau3[[#This Row],[prospet]])</f>
        <v>0</v>
      </c>
    </row>
    <row r="306" spans="1:11" hidden="1" x14ac:dyDescent="0.3">
      <c r="A306" s="1">
        <v>46175</v>
      </c>
      <c r="B306" t="s">
        <v>80</v>
      </c>
      <c r="C306" t="s">
        <v>94</v>
      </c>
      <c r="D306" t="s">
        <v>155</v>
      </c>
      <c r="E306">
        <v>56</v>
      </c>
      <c r="G306" s="2">
        <f>2.5+0.74</f>
        <v>3.24</v>
      </c>
      <c r="J306" s="8">
        <f>IF(Tableau3[[#This Row],[prospet]]=0,0,Tableau3[[#This Row],[Ventes]]/Tableau3[[#This Row],[prospet]])</f>
        <v>0</v>
      </c>
    </row>
    <row r="307" spans="1:11" hidden="1" x14ac:dyDescent="0.3">
      <c r="A307" s="1">
        <v>46175</v>
      </c>
      <c r="B307" t="s">
        <v>83</v>
      </c>
      <c r="C307" t="s">
        <v>95</v>
      </c>
      <c r="D307" t="s">
        <v>83</v>
      </c>
      <c r="E307">
        <v>68</v>
      </c>
      <c r="F307">
        <v>1</v>
      </c>
      <c r="G307" s="2">
        <f>2.31+0.89</f>
        <v>3.2</v>
      </c>
      <c r="H307">
        <v>12500</v>
      </c>
      <c r="I307">
        <v>2500</v>
      </c>
      <c r="J307" s="8">
        <f>IF(Tableau3[[#This Row],[prospet]]=0,0,Tableau3[[#This Row],[Ventes]]/Tableau3[[#This Row],[prospet]])</f>
        <v>1.4705882352941176E-2</v>
      </c>
    </row>
    <row r="308" spans="1:11" hidden="1" x14ac:dyDescent="0.3">
      <c r="A308" s="1">
        <v>46175</v>
      </c>
      <c r="B308" t="s">
        <v>84</v>
      </c>
      <c r="C308" t="s">
        <v>96</v>
      </c>
      <c r="D308" t="s">
        <v>84</v>
      </c>
      <c r="E308">
        <v>63</v>
      </c>
      <c r="F308">
        <v>2</v>
      </c>
      <c r="G308" s="2">
        <f>2.72+0.7</f>
        <v>3.42</v>
      </c>
      <c r="H308">
        <v>25000</v>
      </c>
      <c r="I308">
        <v>5000</v>
      </c>
      <c r="J308" s="8">
        <f>IF(Tableau3[[#This Row],[prospet]]=0,0,Tableau3[[#This Row],[Ventes]]/Tableau3[[#This Row],[prospet]])</f>
        <v>3.1746031746031744E-2</v>
      </c>
    </row>
    <row r="309" spans="1:11" hidden="1" x14ac:dyDescent="0.3">
      <c r="A309" s="1">
        <v>46175</v>
      </c>
      <c r="B309" t="s">
        <v>98</v>
      </c>
      <c r="C309" t="s">
        <v>99</v>
      </c>
      <c r="D309" t="s">
        <v>98</v>
      </c>
      <c r="E309">
        <v>26</v>
      </c>
      <c r="G309" s="2">
        <v>1.73</v>
      </c>
      <c r="J309" s="8">
        <f>IF(Tableau3[[#This Row],[prospet]]=0,0,Tableau3[[#This Row],[Ventes]]/Tableau3[[#This Row],[prospet]])</f>
        <v>0</v>
      </c>
    </row>
    <row r="310" spans="1:11" hidden="1" x14ac:dyDescent="0.3">
      <c r="A310" s="1">
        <v>46176</v>
      </c>
      <c r="B310" t="s">
        <v>16</v>
      </c>
      <c r="C310" t="s">
        <v>85</v>
      </c>
      <c r="D310" t="s">
        <v>18</v>
      </c>
      <c r="F310">
        <v>4</v>
      </c>
      <c r="H310">
        <v>50000</v>
      </c>
      <c r="I310">
        <v>10000</v>
      </c>
      <c r="J310" s="8">
        <f>IF(Tableau3[[#This Row],[prospet]]=0,0,Tableau3[[#This Row],[Ventes]]/Tableau3[[#This Row],[prospet]])</f>
        <v>0</v>
      </c>
    </row>
    <row r="311" spans="1:11" hidden="1" x14ac:dyDescent="0.3">
      <c r="A311" s="1">
        <v>46176</v>
      </c>
      <c r="B311" t="s">
        <v>14</v>
      </c>
      <c r="C311" t="s">
        <v>29</v>
      </c>
      <c r="D311" t="s">
        <v>12</v>
      </c>
      <c r="J311" s="8">
        <f>IF(Tableau3[[#This Row],[prospet]]=0,0,Tableau3[[#This Row],[Ventes]]/Tableau3[[#This Row],[prospet]])</f>
        <v>0</v>
      </c>
    </row>
    <row r="312" spans="1:11" hidden="1" x14ac:dyDescent="0.3">
      <c r="A312" s="1">
        <v>46176</v>
      </c>
      <c r="B312" t="s">
        <v>9</v>
      </c>
      <c r="C312" t="s">
        <v>86</v>
      </c>
      <c r="D312" t="s">
        <v>13</v>
      </c>
      <c r="F312">
        <v>1</v>
      </c>
      <c r="H312">
        <v>12500</v>
      </c>
      <c r="I312">
        <v>2500</v>
      </c>
      <c r="J312" s="8">
        <f>IF(Tableau3[[#This Row],[prospet]]=0,0,Tableau3[[#This Row],[Ventes]]/Tableau3[[#This Row],[prospet]])</f>
        <v>0</v>
      </c>
    </row>
    <row r="313" spans="1:11" hidden="1" x14ac:dyDescent="0.3">
      <c r="A313" s="1">
        <v>46176</v>
      </c>
      <c r="B313" t="s">
        <v>28</v>
      </c>
      <c r="C313" t="s">
        <v>87</v>
      </c>
      <c r="D313" t="s">
        <v>15</v>
      </c>
      <c r="J313" s="8">
        <f>IF(Tableau3[[#This Row],[prospet]]=0,0,Tableau3[[#This Row],[Ventes]]/Tableau3[[#This Row],[prospet]])</f>
        <v>0</v>
      </c>
    </row>
    <row r="314" spans="1:11" hidden="1" x14ac:dyDescent="0.3">
      <c r="A314" s="1">
        <v>46176</v>
      </c>
      <c r="B314" t="s">
        <v>43</v>
      </c>
      <c r="C314" t="s">
        <v>11</v>
      </c>
      <c r="D314" t="s">
        <v>43</v>
      </c>
      <c r="F314">
        <v>1</v>
      </c>
      <c r="G314" s="2">
        <v>1.84</v>
      </c>
      <c r="H314">
        <v>10000</v>
      </c>
      <c r="I314">
        <v>2500</v>
      </c>
      <c r="J314" s="8">
        <f>IF(Tableau3[[#This Row],[prospet]]=0,0,Tableau3[[#This Row],[Ventes]]/Tableau3[[#This Row],[prospet]])</f>
        <v>0</v>
      </c>
    </row>
    <row r="315" spans="1:11" hidden="1" x14ac:dyDescent="0.3">
      <c r="A315" s="1">
        <v>46176</v>
      </c>
      <c r="B315" t="s">
        <v>30</v>
      </c>
      <c r="C315" t="s">
        <v>88</v>
      </c>
      <c r="D315" t="s">
        <v>30</v>
      </c>
      <c r="F315">
        <v>5</v>
      </c>
      <c r="H315">
        <f>25000+8000+10000</f>
        <v>43000</v>
      </c>
      <c r="I315">
        <f>2500+2000+2500+2500</f>
        <v>9500</v>
      </c>
      <c r="J315" s="8">
        <f>IF(Tableau3[[#This Row],[prospet]]=0,0,Tableau3[[#This Row],[Ventes]]/Tableau3[[#This Row],[prospet]])</f>
        <v>0</v>
      </c>
    </row>
    <row r="316" spans="1:11" hidden="1" x14ac:dyDescent="0.3">
      <c r="A316" s="1">
        <v>46176</v>
      </c>
      <c r="B316" t="s">
        <v>3</v>
      </c>
      <c r="C316" t="s">
        <v>89</v>
      </c>
      <c r="D316" t="s">
        <v>3</v>
      </c>
      <c r="E316">
        <v>16</v>
      </c>
      <c r="F316">
        <v>1</v>
      </c>
      <c r="G316" s="2">
        <v>1.22</v>
      </c>
      <c r="H316">
        <v>4000</v>
      </c>
      <c r="I316">
        <v>1000</v>
      </c>
      <c r="J316" s="8">
        <f>IF(Tableau3[[#This Row],[prospet]]=0,0,Tableau3[[#This Row],[Ventes]]/Tableau3[[#This Row],[prospet]])</f>
        <v>6.25E-2</v>
      </c>
    </row>
    <row r="317" spans="1:11" hidden="1" x14ac:dyDescent="0.3">
      <c r="A317" s="1">
        <v>46176</v>
      </c>
      <c r="B317" t="s">
        <v>60</v>
      </c>
      <c r="C317" t="s">
        <v>85</v>
      </c>
      <c r="D317" t="s">
        <v>61</v>
      </c>
      <c r="F317">
        <v>3</v>
      </c>
      <c r="G317" s="2">
        <v>0.03</v>
      </c>
      <c r="H317">
        <f>22500+4000</f>
        <v>26500</v>
      </c>
      <c r="I317">
        <v>4500</v>
      </c>
      <c r="J317" s="8">
        <f>IF(Tableau3[[#This Row],[prospet]]=0,0,Tableau3[[#This Row],[Ventes]]/Tableau3[[#This Row],[prospet]])</f>
        <v>0</v>
      </c>
      <c r="K317">
        <v>4587211</v>
      </c>
    </row>
    <row r="318" spans="1:11" hidden="1" x14ac:dyDescent="0.3">
      <c r="A318" s="1">
        <v>46176</v>
      </c>
      <c r="B318" t="s">
        <v>62</v>
      </c>
      <c r="C318" t="s">
        <v>90</v>
      </c>
      <c r="D318" t="s">
        <v>62</v>
      </c>
      <c r="E318">
        <v>18</v>
      </c>
      <c r="F318">
        <v>6</v>
      </c>
      <c r="H318">
        <f>12500+12000+20000</f>
        <v>44500</v>
      </c>
      <c r="I318">
        <f>2500+3000+5000</f>
        <v>10500</v>
      </c>
      <c r="J318" s="8">
        <f>IF(Tableau3[[#This Row],[prospet]]=0,0,Tableau3[[#This Row],[Ventes]]/Tableau3[[#This Row],[prospet]])</f>
        <v>0.33333333333333331</v>
      </c>
      <c r="K318">
        <v>4221767</v>
      </c>
    </row>
    <row r="319" spans="1:11" hidden="1" x14ac:dyDescent="0.3">
      <c r="A319" s="1">
        <v>46176</v>
      </c>
      <c r="B319" t="s">
        <v>63</v>
      </c>
      <c r="C319" t="s">
        <v>91</v>
      </c>
      <c r="D319" t="s">
        <v>154</v>
      </c>
      <c r="F319">
        <v>2</v>
      </c>
      <c r="H319">
        <f>10000+12500</f>
        <v>22500</v>
      </c>
      <c r="I319">
        <f>2500+1250</f>
        <v>3750</v>
      </c>
      <c r="J319" s="8">
        <f>IF(Tableau3[[#This Row],[prospet]]=0,0,Tableau3[[#This Row],[Ventes]]/Tableau3[[#This Row],[prospet]])</f>
        <v>0</v>
      </c>
    </row>
    <row r="320" spans="1:11" hidden="1" x14ac:dyDescent="0.3">
      <c r="A320" s="1">
        <v>46176</v>
      </c>
      <c r="B320" t="s">
        <v>64</v>
      </c>
      <c r="C320" t="s">
        <v>29</v>
      </c>
      <c r="D320" t="s">
        <v>64</v>
      </c>
      <c r="E320">
        <v>13</v>
      </c>
      <c r="F320">
        <v>2</v>
      </c>
      <c r="G320" s="2">
        <v>1.42</v>
      </c>
      <c r="H320">
        <f>12500+4000</f>
        <v>16500</v>
      </c>
      <c r="I320">
        <v>3500</v>
      </c>
      <c r="J320" s="8">
        <f>IF(Tableau3[[#This Row],[prospet]]=0,0,Tableau3[[#This Row],[Ventes]]/Tableau3[[#This Row],[prospet]])</f>
        <v>0.15384615384615385</v>
      </c>
      <c r="K320">
        <v>4080782</v>
      </c>
    </row>
    <row r="321" spans="1:11" hidden="1" x14ac:dyDescent="0.3">
      <c r="A321" s="1">
        <v>46176</v>
      </c>
      <c r="B321" t="s">
        <v>81</v>
      </c>
      <c r="C321" t="s">
        <v>92</v>
      </c>
      <c r="D321" t="s">
        <v>81</v>
      </c>
      <c r="E321">
        <v>11</v>
      </c>
      <c r="F321">
        <v>1</v>
      </c>
      <c r="G321" s="2">
        <v>0.72</v>
      </c>
      <c r="H321">
        <v>12500</v>
      </c>
      <c r="I321">
        <v>2500</v>
      </c>
      <c r="J321" s="8">
        <f>IF(Tableau3[[#This Row],[prospet]]=0,0,Tableau3[[#This Row],[Ventes]]/Tableau3[[#This Row],[prospet]])</f>
        <v>9.0909090909090912E-2</v>
      </c>
      <c r="K321">
        <v>4559847</v>
      </c>
    </row>
    <row r="322" spans="1:11" hidden="1" x14ac:dyDescent="0.3">
      <c r="A322" s="1">
        <v>46176</v>
      </c>
      <c r="B322" t="s">
        <v>82</v>
      </c>
      <c r="C322" t="s">
        <v>11</v>
      </c>
      <c r="D322" t="s">
        <v>82</v>
      </c>
      <c r="E322">
        <v>13</v>
      </c>
      <c r="G322" s="2">
        <v>1.23</v>
      </c>
      <c r="J322" s="8">
        <f>IF(Tableau3[[#This Row],[prospet]]=0,0,Tableau3[[#This Row],[Ventes]]/Tableau3[[#This Row],[prospet]])</f>
        <v>0</v>
      </c>
      <c r="K322">
        <v>4541035</v>
      </c>
    </row>
    <row r="323" spans="1:11" hidden="1" x14ac:dyDescent="0.3">
      <c r="A323" s="1">
        <v>46176</v>
      </c>
      <c r="B323" t="s">
        <v>97</v>
      </c>
      <c r="C323" t="s">
        <v>93</v>
      </c>
      <c r="D323" t="s">
        <v>97</v>
      </c>
      <c r="E323">
        <v>6</v>
      </c>
      <c r="G323" s="2">
        <v>0.23</v>
      </c>
      <c r="J323" s="8">
        <f>IF(Tableau3[[#This Row],[prospet]]=0,0,Tableau3[[#This Row],[Ventes]]/Tableau3[[#This Row],[prospet]])</f>
        <v>0</v>
      </c>
      <c r="K323">
        <v>4636761</v>
      </c>
    </row>
    <row r="324" spans="1:11" hidden="1" x14ac:dyDescent="0.3">
      <c r="A324" s="1">
        <v>46176</v>
      </c>
      <c r="B324" t="s">
        <v>80</v>
      </c>
      <c r="C324" t="s">
        <v>94</v>
      </c>
      <c r="D324" t="s">
        <v>155</v>
      </c>
      <c r="E324">
        <v>7</v>
      </c>
      <c r="F324">
        <v>4</v>
      </c>
      <c r="G324" s="2">
        <v>0.64</v>
      </c>
      <c r="H324">
        <f>37500+15000</f>
        <v>52500</v>
      </c>
      <c r="I324">
        <f>2500+2500+2500+2500</f>
        <v>10000</v>
      </c>
      <c r="J324" s="8">
        <f>IF(Tableau3[[#This Row],[prospet]]=0,0,Tableau3[[#This Row],[Ventes]]/Tableau3[[#This Row],[prospet]])</f>
        <v>0.5714285714285714</v>
      </c>
      <c r="K324">
        <v>4636772</v>
      </c>
    </row>
    <row r="325" spans="1:11" hidden="1" x14ac:dyDescent="0.3">
      <c r="A325" s="1">
        <v>46176</v>
      </c>
      <c r="B325" t="s">
        <v>83</v>
      </c>
      <c r="C325" t="s">
        <v>95</v>
      </c>
      <c r="D325" t="s">
        <v>83</v>
      </c>
      <c r="E325">
        <v>5</v>
      </c>
      <c r="F325">
        <v>1</v>
      </c>
      <c r="G325" s="2">
        <v>0.12</v>
      </c>
      <c r="H325">
        <v>17500</v>
      </c>
      <c r="I325">
        <v>2500</v>
      </c>
      <c r="J325" s="8">
        <f>IF(Tableau3[[#This Row],[prospet]]=0,0,Tableau3[[#This Row],[Ventes]]/Tableau3[[#This Row],[prospet]])</f>
        <v>0.2</v>
      </c>
    </row>
    <row r="326" spans="1:11" ht="16.8" hidden="1" customHeight="1" x14ac:dyDescent="0.3">
      <c r="A326" s="1">
        <v>46176</v>
      </c>
      <c r="B326" t="s">
        <v>84</v>
      </c>
      <c r="C326" t="s">
        <v>96</v>
      </c>
      <c r="D326" t="s">
        <v>84</v>
      </c>
      <c r="E326">
        <v>16</v>
      </c>
      <c r="F326">
        <v>1</v>
      </c>
      <c r="G326" s="2">
        <v>1.35</v>
      </c>
      <c r="H326">
        <v>12500</v>
      </c>
      <c r="I326">
        <v>2500</v>
      </c>
      <c r="J326" s="8">
        <f>IF(Tableau3[[#This Row],[prospet]]=0,0,Tableau3[[#This Row],[Ventes]]/Tableau3[[#This Row],[prospet]])</f>
        <v>6.25E-2</v>
      </c>
      <c r="K326">
        <v>4587817</v>
      </c>
    </row>
    <row r="327" spans="1:11" hidden="1" x14ac:dyDescent="0.3">
      <c r="A327" s="1">
        <v>46176</v>
      </c>
      <c r="B327" t="s">
        <v>98</v>
      </c>
      <c r="C327" t="s">
        <v>99</v>
      </c>
      <c r="D327" t="s">
        <v>98</v>
      </c>
      <c r="E327">
        <v>31</v>
      </c>
      <c r="F327">
        <v>1</v>
      </c>
      <c r="G327" s="2">
        <v>1.35</v>
      </c>
      <c r="H327">
        <v>12500</v>
      </c>
      <c r="I327">
        <v>2500</v>
      </c>
      <c r="J327" s="8">
        <f>IF(Tableau3[[#This Row],[prospet]]=0,0,Tableau3[[#This Row],[Ventes]]/Tableau3[[#This Row],[prospet]])</f>
        <v>3.2258064516129031E-2</v>
      </c>
      <c r="K327">
        <v>3330821</v>
      </c>
    </row>
    <row r="328" spans="1:11" hidden="1" x14ac:dyDescent="0.3">
      <c r="A328" s="1">
        <v>46177</v>
      </c>
      <c r="B328" t="s">
        <v>16</v>
      </c>
      <c r="C328" t="s">
        <v>85</v>
      </c>
      <c r="D328" t="s">
        <v>18</v>
      </c>
      <c r="J328" s="8">
        <f>IF(Tableau3[[#This Row],[prospet]]=0,0,Tableau3[[#This Row],[Ventes]]/Tableau3[[#This Row],[prospet]])</f>
        <v>0</v>
      </c>
    </row>
    <row r="329" spans="1:11" hidden="1" x14ac:dyDescent="0.3">
      <c r="A329" s="1">
        <v>46177</v>
      </c>
      <c r="B329" t="s">
        <v>14</v>
      </c>
      <c r="C329" t="s">
        <v>29</v>
      </c>
      <c r="D329" t="s">
        <v>12</v>
      </c>
      <c r="J329" s="8">
        <f>IF(Tableau3[[#This Row],[prospet]]=0,0,Tableau3[[#This Row],[Ventes]]/Tableau3[[#This Row],[prospet]])</f>
        <v>0</v>
      </c>
    </row>
    <row r="330" spans="1:11" hidden="1" x14ac:dyDescent="0.3">
      <c r="A330" s="1">
        <v>46177</v>
      </c>
      <c r="B330" t="s">
        <v>9</v>
      </c>
      <c r="C330" t="s">
        <v>86</v>
      </c>
      <c r="D330" t="s">
        <v>13</v>
      </c>
      <c r="F330">
        <v>1</v>
      </c>
      <c r="H330">
        <v>12500</v>
      </c>
      <c r="I330">
        <v>2500</v>
      </c>
      <c r="J330" s="8">
        <f>IF(Tableau3[[#This Row],[prospet]]=0,0,Tableau3[[#This Row],[Ventes]]/Tableau3[[#This Row],[prospet]])</f>
        <v>0</v>
      </c>
    </row>
    <row r="331" spans="1:11" hidden="1" x14ac:dyDescent="0.3">
      <c r="A331" s="1">
        <v>46177</v>
      </c>
      <c r="B331" t="s">
        <v>28</v>
      </c>
      <c r="C331" t="s">
        <v>87</v>
      </c>
      <c r="D331" t="s">
        <v>15</v>
      </c>
      <c r="J331" s="8">
        <f>IF(Tableau3[[#This Row],[prospet]]=0,0,Tableau3[[#This Row],[Ventes]]/Tableau3[[#This Row],[prospet]])</f>
        <v>0</v>
      </c>
    </row>
    <row r="332" spans="1:11" hidden="1" x14ac:dyDescent="0.3">
      <c r="A332" s="1">
        <v>46177</v>
      </c>
      <c r="B332" t="s">
        <v>43</v>
      </c>
      <c r="C332" t="s">
        <v>11</v>
      </c>
      <c r="D332" t="s">
        <v>43</v>
      </c>
      <c r="F332">
        <v>1</v>
      </c>
      <c r="H332">
        <v>20000</v>
      </c>
      <c r="I332">
        <v>2000</v>
      </c>
      <c r="J332" s="8">
        <f>IF(Tableau3[[#This Row],[prospet]]=0,0,Tableau3[[#This Row],[Ventes]]/Tableau3[[#This Row],[prospet]])</f>
        <v>0</v>
      </c>
    </row>
    <row r="333" spans="1:11" hidden="1" x14ac:dyDescent="0.3">
      <c r="A333" s="1">
        <v>46177</v>
      </c>
      <c r="B333" t="s">
        <v>44</v>
      </c>
      <c r="D333" t="s">
        <v>44</v>
      </c>
      <c r="J333" s="8">
        <f>IF(Tableau3[[#This Row],[prospet]]=0,0,Tableau3[[#This Row],[Ventes]]/Tableau3[[#This Row],[prospet]])</f>
        <v>0</v>
      </c>
    </row>
    <row r="334" spans="1:11" hidden="1" x14ac:dyDescent="0.3">
      <c r="A334" s="1">
        <v>46177</v>
      </c>
      <c r="B334" t="s">
        <v>45</v>
      </c>
      <c r="D334" t="s">
        <v>45</v>
      </c>
      <c r="J334" s="8">
        <f>IF(Tableau3[[#This Row],[prospet]]=0,0,Tableau3[[#This Row],[Ventes]]/Tableau3[[#This Row],[prospet]])</f>
        <v>0</v>
      </c>
    </row>
    <row r="335" spans="1:11" hidden="1" x14ac:dyDescent="0.3">
      <c r="A335" s="1">
        <v>46177</v>
      </c>
      <c r="B335" t="s">
        <v>30</v>
      </c>
      <c r="C335" t="s">
        <v>88</v>
      </c>
      <c r="D335" t="s">
        <v>30</v>
      </c>
      <c r="F335">
        <v>1</v>
      </c>
      <c r="H335">
        <v>20000</v>
      </c>
      <c r="I335">
        <v>2000</v>
      </c>
      <c r="J335" s="8">
        <f>IF(Tableau3[[#This Row],[prospet]]=0,0,Tableau3[[#This Row],[Ventes]]/Tableau3[[#This Row],[prospet]])</f>
        <v>0</v>
      </c>
    </row>
    <row r="336" spans="1:11" hidden="1" x14ac:dyDescent="0.3">
      <c r="A336" s="1">
        <v>46177</v>
      </c>
      <c r="B336" t="s">
        <v>3</v>
      </c>
      <c r="C336" t="s">
        <v>89</v>
      </c>
      <c r="D336" t="s">
        <v>3</v>
      </c>
      <c r="J336" s="8">
        <f>IF(Tableau3[[#This Row],[prospet]]=0,0,Tableau3[[#This Row],[Ventes]]/Tableau3[[#This Row],[prospet]])</f>
        <v>0</v>
      </c>
    </row>
    <row r="337" spans="1:11" hidden="1" x14ac:dyDescent="0.3">
      <c r="A337" s="1">
        <v>46177</v>
      </c>
      <c r="B337" t="s">
        <v>60</v>
      </c>
      <c r="C337" t="s">
        <v>85</v>
      </c>
      <c r="D337" t="s">
        <v>61</v>
      </c>
      <c r="J337" s="8">
        <f>IF(Tableau3[[#This Row],[prospet]]=0,0,Tableau3[[#This Row],[Ventes]]/Tableau3[[#This Row],[prospet]])</f>
        <v>0</v>
      </c>
      <c r="K337">
        <v>4587211</v>
      </c>
    </row>
    <row r="338" spans="1:11" hidden="1" x14ac:dyDescent="0.3">
      <c r="A338" s="1">
        <v>46177</v>
      </c>
      <c r="B338" t="s">
        <v>62</v>
      </c>
      <c r="C338" t="s">
        <v>90</v>
      </c>
      <c r="D338" t="s">
        <v>62</v>
      </c>
      <c r="J338" s="8">
        <f>IF(Tableau3[[#This Row],[prospet]]=0,0,Tableau3[[#This Row],[Ventes]]/Tableau3[[#This Row],[prospet]])</f>
        <v>0</v>
      </c>
      <c r="K338">
        <v>4221767</v>
      </c>
    </row>
    <row r="339" spans="1:11" hidden="1" x14ac:dyDescent="0.3">
      <c r="A339" s="1">
        <v>46177</v>
      </c>
      <c r="B339" t="s">
        <v>63</v>
      </c>
      <c r="C339" t="s">
        <v>91</v>
      </c>
      <c r="D339" t="s">
        <v>154</v>
      </c>
      <c r="F339">
        <v>1</v>
      </c>
      <c r="H339">
        <v>27500</v>
      </c>
      <c r="I339">
        <v>2750</v>
      </c>
      <c r="J339" s="8">
        <f>IF(Tableau3[[#This Row],[prospet]]=0,0,Tableau3[[#This Row],[Ventes]]/Tableau3[[#This Row],[prospet]])</f>
        <v>0</v>
      </c>
    </row>
    <row r="340" spans="1:11" hidden="1" x14ac:dyDescent="0.3">
      <c r="A340" s="1">
        <v>46177</v>
      </c>
      <c r="B340" t="s">
        <v>64</v>
      </c>
      <c r="C340" t="s">
        <v>29</v>
      </c>
      <c r="D340" t="s">
        <v>64</v>
      </c>
      <c r="J340" s="8">
        <f>IF(Tableau3[[#This Row],[prospet]]=0,0,Tableau3[[#This Row],[Ventes]]/Tableau3[[#This Row],[prospet]])</f>
        <v>0</v>
      </c>
      <c r="K340">
        <v>4080782</v>
      </c>
    </row>
    <row r="341" spans="1:11" hidden="1" x14ac:dyDescent="0.3">
      <c r="A341" s="1">
        <v>46177</v>
      </c>
      <c r="B341" t="s">
        <v>81</v>
      </c>
      <c r="C341" t="s">
        <v>92</v>
      </c>
      <c r="D341" t="s">
        <v>81</v>
      </c>
      <c r="F341">
        <v>2</v>
      </c>
      <c r="H341">
        <v>8000</v>
      </c>
      <c r="I341">
        <v>2000</v>
      </c>
      <c r="J341" s="8">
        <f>IF(Tableau3[[#This Row],[prospet]]=0,0,Tableau3[[#This Row],[Ventes]]/Tableau3[[#This Row],[prospet]])</f>
        <v>0</v>
      </c>
      <c r="K341">
        <v>4559847</v>
      </c>
    </row>
    <row r="342" spans="1:11" hidden="1" x14ac:dyDescent="0.3">
      <c r="A342" s="1">
        <v>46177</v>
      </c>
      <c r="B342" t="s">
        <v>82</v>
      </c>
      <c r="C342" t="s">
        <v>11</v>
      </c>
      <c r="D342" t="s">
        <v>82</v>
      </c>
      <c r="J342" s="8">
        <f>IF(Tableau3[[#This Row],[prospet]]=0,0,Tableau3[[#This Row],[Ventes]]/Tableau3[[#This Row],[prospet]])</f>
        <v>0</v>
      </c>
      <c r="K342">
        <v>4541035</v>
      </c>
    </row>
    <row r="343" spans="1:11" hidden="1" x14ac:dyDescent="0.3">
      <c r="A343" s="1">
        <v>46177</v>
      </c>
      <c r="B343" t="s">
        <v>97</v>
      </c>
      <c r="C343" t="s">
        <v>93</v>
      </c>
      <c r="D343" t="s">
        <v>97</v>
      </c>
      <c r="J343" s="8">
        <f>IF(Tableau3[[#This Row],[prospet]]=0,0,Tableau3[[#This Row],[Ventes]]/Tableau3[[#This Row],[prospet]])</f>
        <v>0</v>
      </c>
      <c r="K343">
        <v>4636761</v>
      </c>
    </row>
    <row r="344" spans="1:11" hidden="1" x14ac:dyDescent="0.3">
      <c r="A344" s="1">
        <v>46177</v>
      </c>
      <c r="B344" t="s">
        <v>80</v>
      </c>
      <c r="C344" t="s">
        <v>94</v>
      </c>
      <c r="D344" t="s">
        <v>155</v>
      </c>
      <c r="F344">
        <v>3</v>
      </c>
      <c r="H344">
        <f>4000+15000+12500</f>
        <v>31500</v>
      </c>
      <c r="I344">
        <f>1000+2500+2500</f>
        <v>6000</v>
      </c>
      <c r="J344" s="8">
        <f>IF(Tableau3[[#This Row],[prospet]]=0,0,Tableau3[[#This Row],[Ventes]]/Tableau3[[#This Row],[prospet]])</f>
        <v>0</v>
      </c>
      <c r="K344">
        <v>4636772</v>
      </c>
    </row>
    <row r="345" spans="1:11" hidden="1" x14ac:dyDescent="0.3">
      <c r="A345" s="1">
        <v>46177</v>
      </c>
      <c r="B345" t="s">
        <v>83</v>
      </c>
      <c r="C345" t="s">
        <v>95</v>
      </c>
      <c r="D345" t="s">
        <v>83</v>
      </c>
      <c r="J345" s="8">
        <f>IF(Tableau3[[#This Row],[prospet]]=0,0,Tableau3[[#This Row],[Ventes]]/Tableau3[[#This Row],[prospet]])</f>
        <v>0</v>
      </c>
    </row>
    <row r="346" spans="1:11" hidden="1" x14ac:dyDescent="0.3">
      <c r="A346" s="1">
        <v>46177</v>
      </c>
      <c r="B346" t="s">
        <v>84</v>
      </c>
      <c r="C346" t="s">
        <v>96</v>
      </c>
      <c r="D346" t="s">
        <v>84</v>
      </c>
      <c r="F346">
        <v>1</v>
      </c>
      <c r="H346">
        <v>12500</v>
      </c>
      <c r="I346">
        <v>2500</v>
      </c>
      <c r="J346" s="8">
        <f>IF(Tableau3[[#This Row],[prospet]]=0,0,Tableau3[[#This Row],[Ventes]]/Tableau3[[#This Row],[prospet]])</f>
        <v>0</v>
      </c>
      <c r="K346">
        <v>4587817</v>
      </c>
    </row>
    <row r="347" spans="1:11" hidden="1" x14ac:dyDescent="0.3">
      <c r="A347" s="1">
        <v>46177</v>
      </c>
      <c r="B347" t="s">
        <v>98</v>
      </c>
      <c r="C347" t="s">
        <v>99</v>
      </c>
      <c r="D347" t="s">
        <v>98</v>
      </c>
      <c r="F347">
        <v>1</v>
      </c>
      <c r="H347">
        <v>12500</v>
      </c>
      <c r="I347">
        <v>2500</v>
      </c>
      <c r="J347" s="8">
        <f>IF(Tableau3[[#This Row],[prospet]]=0,0,Tableau3[[#This Row],[Ventes]]/Tableau3[[#This Row],[prospet]])</f>
        <v>0</v>
      </c>
      <c r="K347">
        <v>3330821</v>
      </c>
    </row>
    <row r="348" spans="1:11" hidden="1" x14ac:dyDescent="0.3">
      <c r="A348" s="1">
        <v>46178</v>
      </c>
      <c r="B348" t="s">
        <v>16</v>
      </c>
      <c r="C348" t="s">
        <v>85</v>
      </c>
      <c r="D348" t="s">
        <v>18</v>
      </c>
      <c r="E348">
        <v>16</v>
      </c>
      <c r="G348" s="2">
        <v>2.27</v>
      </c>
      <c r="J348" s="8">
        <f>IF(Tableau3[[#This Row],[prospet]]=0,0,Tableau3[[#This Row],[Ventes]]/Tableau3[[#This Row],[prospet]])</f>
        <v>0</v>
      </c>
    </row>
    <row r="349" spans="1:11" hidden="1" x14ac:dyDescent="0.3">
      <c r="A349" s="1">
        <v>46178</v>
      </c>
      <c r="B349" t="s">
        <v>9</v>
      </c>
      <c r="C349" t="s">
        <v>86</v>
      </c>
      <c r="D349" t="s">
        <v>13</v>
      </c>
      <c r="E349">
        <v>17</v>
      </c>
      <c r="G349" s="2">
        <v>1.92</v>
      </c>
      <c r="J349" s="8">
        <f>IF(Tableau3[[#This Row],[prospet]]=0,0,Tableau3[[#This Row],[Ventes]]/Tableau3[[#This Row],[prospet]])</f>
        <v>0</v>
      </c>
    </row>
    <row r="350" spans="1:11" hidden="1" x14ac:dyDescent="0.3">
      <c r="A350" s="1">
        <v>46178</v>
      </c>
      <c r="B350" t="s">
        <v>28</v>
      </c>
      <c r="C350" t="s">
        <v>87</v>
      </c>
      <c r="D350" t="s">
        <v>15</v>
      </c>
      <c r="J350" s="8">
        <f>IF(Tableau3[[#This Row],[prospet]]=0,0,Tableau3[[#This Row],[Ventes]]/Tableau3[[#This Row],[prospet]])</f>
        <v>0</v>
      </c>
    </row>
    <row r="351" spans="1:11" hidden="1" x14ac:dyDescent="0.3">
      <c r="A351" s="1">
        <v>46178</v>
      </c>
      <c r="B351" t="s">
        <v>43</v>
      </c>
      <c r="C351" t="s">
        <v>11</v>
      </c>
      <c r="D351" t="s">
        <v>43</v>
      </c>
      <c r="E351">
        <v>25</v>
      </c>
      <c r="G351" s="2">
        <v>2.09</v>
      </c>
      <c r="J351" s="8">
        <f>IF(Tableau3[[#This Row],[prospet]]=0,0,Tableau3[[#This Row],[Ventes]]/Tableau3[[#This Row],[prospet]])</f>
        <v>0</v>
      </c>
    </row>
    <row r="352" spans="1:11" hidden="1" x14ac:dyDescent="0.3">
      <c r="A352" s="1">
        <v>46178</v>
      </c>
      <c r="B352" t="s">
        <v>30</v>
      </c>
      <c r="C352" t="s">
        <v>88</v>
      </c>
      <c r="D352" t="s">
        <v>30</v>
      </c>
      <c r="E352">
        <v>22</v>
      </c>
      <c r="G352" s="2">
        <v>2.17</v>
      </c>
      <c r="J352" s="8">
        <f>IF(Tableau3[[#This Row],[prospet]]=0,0,Tableau3[[#This Row],[Ventes]]/Tableau3[[#This Row],[prospet]])</f>
        <v>0</v>
      </c>
    </row>
    <row r="353" spans="1:11" hidden="1" x14ac:dyDescent="0.3">
      <c r="A353" s="1">
        <v>46178</v>
      </c>
      <c r="B353" t="s">
        <v>3</v>
      </c>
      <c r="C353" t="s">
        <v>89</v>
      </c>
      <c r="D353" t="s">
        <v>3</v>
      </c>
      <c r="E353">
        <v>13</v>
      </c>
      <c r="F353">
        <v>1</v>
      </c>
      <c r="G353" s="2">
        <v>2.16</v>
      </c>
      <c r="H353">
        <v>4000</v>
      </c>
      <c r="I353">
        <v>1000</v>
      </c>
      <c r="J353" s="8">
        <f>IF(Tableau3[[#This Row],[prospet]]=0,0,Tableau3[[#This Row],[Ventes]]/Tableau3[[#This Row],[prospet]])</f>
        <v>7.6923076923076927E-2</v>
      </c>
    </row>
    <row r="354" spans="1:11" hidden="1" x14ac:dyDescent="0.3">
      <c r="A354" s="1">
        <v>46178</v>
      </c>
      <c r="B354" t="s">
        <v>60</v>
      </c>
      <c r="C354" t="s">
        <v>85</v>
      </c>
      <c r="D354" t="s">
        <v>61</v>
      </c>
      <c r="E354">
        <v>16</v>
      </c>
      <c r="F354">
        <v>1</v>
      </c>
      <c r="G354" s="2">
        <v>2.34</v>
      </c>
      <c r="H354">
        <v>3000</v>
      </c>
      <c r="I354">
        <v>1000</v>
      </c>
      <c r="J354" s="8">
        <f>IF(Tableau3[[#This Row],[prospet]]=0,0,Tableau3[[#This Row],[Ventes]]/Tableau3[[#This Row],[prospet]])</f>
        <v>6.25E-2</v>
      </c>
      <c r="K354">
        <v>4587211</v>
      </c>
    </row>
    <row r="355" spans="1:11" hidden="1" x14ac:dyDescent="0.3">
      <c r="A355" s="1">
        <v>46178</v>
      </c>
      <c r="B355" t="s">
        <v>62</v>
      </c>
      <c r="C355" t="s">
        <v>90</v>
      </c>
      <c r="D355" t="s">
        <v>62</v>
      </c>
      <c r="E355">
        <v>27</v>
      </c>
      <c r="G355" s="2">
        <v>2.08</v>
      </c>
      <c r="J355" s="8">
        <f>IF(Tableau3[[#This Row],[prospet]]=0,0,Tableau3[[#This Row],[Ventes]]/Tableau3[[#This Row],[prospet]])</f>
        <v>0</v>
      </c>
      <c r="K355">
        <v>4221767</v>
      </c>
    </row>
    <row r="356" spans="1:11" hidden="1" x14ac:dyDescent="0.3">
      <c r="A356" s="1">
        <v>46178</v>
      </c>
      <c r="B356" t="s">
        <v>63</v>
      </c>
      <c r="C356" t="s">
        <v>91</v>
      </c>
      <c r="D356" t="s">
        <v>154</v>
      </c>
      <c r="E356">
        <v>15</v>
      </c>
      <c r="G356" s="2">
        <v>2.4</v>
      </c>
      <c r="J356" s="8">
        <f>IF(Tableau3[[#This Row],[prospet]]=0,0,Tableau3[[#This Row],[Ventes]]/Tableau3[[#This Row],[prospet]])</f>
        <v>0</v>
      </c>
    </row>
    <row r="357" spans="1:11" hidden="1" x14ac:dyDescent="0.3">
      <c r="A357" s="1">
        <v>46178</v>
      </c>
      <c r="B357" t="s">
        <v>64</v>
      </c>
      <c r="C357" t="s">
        <v>29</v>
      </c>
      <c r="D357" t="s">
        <v>64</v>
      </c>
      <c r="E357">
        <v>20</v>
      </c>
      <c r="F357">
        <v>1</v>
      </c>
      <c r="G357" s="2">
        <v>2.39</v>
      </c>
      <c r="H357">
        <v>12500</v>
      </c>
      <c r="I357">
        <v>2500</v>
      </c>
      <c r="J357" s="8">
        <f>IF(Tableau3[[#This Row],[prospet]]=0,0,Tableau3[[#This Row],[Ventes]]/Tableau3[[#This Row],[prospet]])</f>
        <v>0.05</v>
      </c>
      <c r="K357">
        <v>4080782</v>
      </c>
    </row>
    <row r="358" spans="1:11" hidden="1" x14ac:dyDescent="0.3">
      <c r="A358" s="1">
        <v>46178</v>
      </c>
      <c r="B358" t="s">
        <v>81</v>
      </c>
      <c r="C358" t="s">
        <v>92</v>
      </c>
      <c r="D358" t="s">
        <v>81</v>
      </c>
      <c r="E358">
        <v>10</v>
      </c>
      <c r="F358">
        <v>1</v>
      </c>
      <c r="G358" s="2">
        <v>1.92</v>
      </c>
      <c r="H358">
        <v>14500</v>
      </c>
      <c r="I358">
        <v>2500</v>
      </c>
      <c r="J358" s="8">
        <f>IF(Tableau3[[#This Row],[prospet]]=0,0,Tableau3[[#This Row],[Ventes]]/Tableau3[[#This Row],[prospet]])</f>
        <v>0.1</v>
      </c>
      <c r="K358">
        <v>4559847</v>
      </c>
    </row>
    <row r="359" spans="1:11" hidden="1" x14ac:dyDescent="0.3">
      <c r="A359" s="1">
        <v>46178</v>
      </c>
      <c r="B359" t="s">
        <v>82</v>
      </c>
      <c r="C359" t="s">
        <v>11</v>
      </c>
      <c r="D359" t="s">
        <v>82</v>
      </c>
      <c r="E359">
        <v>18</v>
      </c>
      <c r="G359" s="2">
        <v>2.17</v>
      </c>
      <c r="J359" s="8">
        <f>IF(Tableau3[[#This Row],[prospet]]=0,0,Tableau3[[#This Row],[Ventes]]/Tableau3[[#This Row],[prospet]])</f>
        <v>0</v>
      </c>
      <c r="K359">
        <v>4541035</v>
      </c>
    </row>
    <row r="360" spans="1:11" hidden="1" x14ac:dyDescent="0.3">
      <c r="A360" s="1">
        <v>46178</v>
      </c>
      <c r="B360" t="s">
        <v>97</v>
      </c>
      <c r="C360" t="s">
        <v>93</v>
      </c>
      <c r="D360" t="s">
        <v>97</v>
      </c>
      <c r="E360">
        <v>22</v>
      </c>
      <c r="F360">
        <v>2</v>
      </c>
      <c r="G360" s="2">
        <v>2.23</v>
      </c>
      <c r="H360">
        <f>17500+12500</f>
        <v>30000</v>
      </c>
      <c r="I360">
        <v>5000</v>
      </c>
      <c r="J360" s="8">
        <f>IF(Tableau3[[#This Row],[prospet]]=0,0,Tableau3[[#This Row],[Ventes]]/Tableau3[[#This Row],[prospet]])</f>
        <v>9.0909090909090912E-2</v>
      </c>
      <c r="K360">
        <v>4636761</v>
      </c>
    </row>
    <row r="361" spans="1:11" hidden="1" x14ac:dyDescent="0.3">
      <c r="A361" s="1">
        <v>46178</v>
      </c>
      <c r="B361" t="s">
        <v>80</v>
      </c>
      <c r="C361" t="s">
        <v>94</v>
      </c>
      <c r="D361" t="s">
        <v>155</v>
      </c>
      <c r="E361">
        <v>25</v>
      </c>
      <c r="F361">
        <v>2</v>
      </c>
      <c r="G361" s="2">
        <v>2.87</v>
      </c>
      <c r="H361">
        <v>27000</v>
      </c>
      <c r="I361">
        <v>5000</v>
      </c>
      <c r="J361" s="8">
        <f>IF(Tableau3[[#This Row],[prospet]]=0,0,Tableau3[[#This Row],[Ventes]]/Tableau3[[#This Row],[prospet]])</f>
        <v>0.08</v>
      </c>
      <c r="K361">
        <v>4636772</v>
      </c>
    </row>
    <row r="362" spans="1:11" hidden="1" x14ac:dyDescent="0.3">
      <c r="A362" s="1">
        <v>46178</v>
      </c>
      <c r="B362" t="s">
        <v>83</v>
      </c>
      <c r="C362" t="s">
        <v>95</v>
      </c>
      <c r="D362" t="s">
        <v>83</v>
      </c>
      <c r="E362">
        <v>18</v>
      </c>
      <c r="G362" s="2">
        <v>1.41</v>
      </c>
      <c r="J362" s="8">
        <f>IF(Tableau3[[#This Row],[prospet]]=0,0,Tableau3[[#This Row],[Ventes]]/Tableau3[[#This Row],[prospet]])</f>
        <v>0</v>
      </c>
    </row>
    <row r="363" spans="1:11" hidden="1" x14ac:dyDescent="0.3">
      <c r="A363" s="1">
        <v>46178</v>
      </c>
      <c r="B363" t="s">
        <v>84</v>
      </c>
      <c r="C363" t="s">
        <v>96</v>
      </c>
      <c r="D363" t="s">
        <v>84</v>
      </c>
      <c r="E363">
        <v>21</v>
      </c>
      <c r="G363" s="2">
        <v>1.49</v>
      </c>
      <c r="J363" s="8">
        <f>IF(Tableau3[[#This Row],[prospet]]=0,0,Tableau3[[#This Row],[Ventes]]/Tableau3[[#This Row],[prospet]])</f>
        <v>0</v>
      </c>
      <c r="K363">
        <v>4587817</v>
      </c>
    </row>
    <row r="364" spans="1:11" hidden="1" x14ac:dyDescent="0.3">
      <c r="A364" s="1">
        <v>46178</v>
      </c>
      <c r="B364" t="s">
        <v>98</v>
      </c>
      <c r="C364" t="s">
        <v>99</v>
      </c>
      <c r="D364" t="s">
        <v>98</v>
      </c>
      <c r="E364">
        <v>10</v>
      </c>
      <c r="G364" s="2">
        <v>1.5</v>
      </c>
      <c r="J364" s="8">
        <f>IF(Tableau3[[#This Row],[prospet]]=0,0,Tableau3[[#This Row],[Ventes]]/Tableau3[[#This Row],[prospet]])</f>
        <v>0</v>
      </c>
      <c r="K364">
        <v>3330821</v>
      </c>
    </row>
    <row r="365" spans="1:11" hidden="1" x14ac:dyDescent="0.3">
      <c r="A365" s="1">
        <v>46179</v>
      </c>
      <c r="B365" t="s">
        <v>16</v>
      </c>
      <c r="C365" t="s">
        <v>85</v>
      </c>
      <c r="D365" t="s">
        <v>18</v>
      </c>
      <c r="E365">
        <v>15</v>
      </c>
      <c r="G365" s="2">
        <v>1.3</v>
      </c>
      <c r="J365" s="8">
        <f>IF(Tableau3[[#This Row],[prospet]]=0,0,Tableau3[[#This Row],[Ventes]]/Tableau3[[#This Row],[prospet]])</f>
        <v>0</v>
      </c>
    </row>
    <row r="366" spans="1:11" hidden="1" x14ac:dyDescent="0.3">
      <c r="A366" s="1">
        <v>46179</v>
      </c>
      <c r="B366" t="s">
        <v>9</v>
      </c>
      <c r="C366" t="s">
        <v>86</v>
      </c>
      <c r="D366" t="s">
        <v>13</v>
      </c>
      <c r="E366">
        <v>10</v>
      </c>
      <c r="G366" s="2">
        <v>1.56</v>
      </c>
      <c r="J366" s="8">
        <f>IF(Tableau3[[#This Row],[prospet]]=0,0,Tableau3[[#This Row],[Ventes]]/Tableau3[[#This Row],[prospet]])</f>
        <v>0</v>
      </c>
    </row>
    <row r="367" spans="1:11" hidden="1" x14ac:dyDescent="0.3">
      <c r="A367" s="1">
        <v>46179</v>
      </c>
      <c r="B367" t="s">
        <v>43</v>
      </c>
      <c r="C367" t="s">
        <v>11</v>
      </c>
      <c r="D367" t="s">
        <v>43</v>
      </c>
      <c r="E367">
        <v>37</v>
      </c>
      <c r="F367">
        <v>1</v>
      </c>
      <c r="G367" s="2">
        <v>1.31</v>
      </c>
      <c r="H367">
        <v>12500</v>
      </c>
      <c r="I367">
        <v>2500</v>
      </c>
      <c r="J367" s="8">
        <f>IF(Tableau3[[#This Row],[prospet]]=0,0,Tableau3[[#This Row],[Ventes]]/Tableau3[[#This Row],[prospet]])</f>
        <v>2.7027027027027029E-2</v>
      </c>
    </row>
    <row r="368" spans="1:11" hidden="1" x14ac:dyDescent="0.3">
      <c r="A368" s="1">
        <v>46179</v>
      </c>
      <c r="B368" t="s">
        <v>30</v>
      </c>
      <c r="C368" t="s">
        <v>88</v>
      </c>
      <c r="D368" t="s">
        <v>30</v>
      </c>
      <c r="E368">
        <v>16</v>
      </c>
      <c r="G368" s="2">
        <v>1.38</v>
      </c>
      <c r="J368" s="8">
        <f>IF(Tableau3[[#This Row],[prospet]]=0,0,Tableau3[[#This Row],[Ventes]]/Tableau3[[#This Row],[prospet]])</f>
        <v>0</v>
      </c>
    </row>
    <row r="369" spans="1:11" hidden="1" x14ac:dyDescent="0.3">
      <c r="A369" s="1">
        <v>46179</v>
      </c>
      <c r="B369" t="s">
        <v>3</v>
      </c>
      <c r="C369" t="s">
        <v>89</v>
      </c>
      <c r="D369" t="s">
        <v>3</v>
      </c>
      <c r="E369">
        <v>9</v>
      </c>
      <c r="F369">
        <v>1</v>
      </c>
      <c r="G369" s="2">
        <v>1.23</v>
      </c>
      <c r="H369">
        <v>4000</v>
      </c>
      <c r="I369">
        <v>1000</v>
      </c>
      <c r="J369" s="8">
        <f>IF(Tableau3[[#This Row],[prospet]]=0,0,Tableau3[[#This Row],[Ventes]]/Tableau3[[#This Row],[prospet]])</f>
        <v>0.1111111111111111</v>
      </c>
    </row>
    <row r="370" spans="1:11" hidden="1" x14ac:dyDescent="0.3">
      <c r="A370" s="1">
        <v>46179</v>
      </c>
      <c r="B370" t="s">
        <v>60</v>
      </c>
      <c r="C370" t="s">
        <v>85</v>
      </c>
      <c r="D370" t="s">
        <v>61</v>
      </c>
      <c r="E370">
        <v>13</v>
      </c>
      <c r="F370">
        <v>6</v>
      </c>
      <c r="G370" s="2">
        <v>1.18</v>
      </c>
      <c r="H370">
        <f>4000*3+25000+12500</f>
        <v>49500</v>
      </c>
      <c r="I370">
        <f>10500</f>
        <v>10500</v>
      </c>
      <c r="J370" s="8">
        <f>IF(Tableau3[[#This Row],[prospet]]=0,0,Tableau3[[#This Row],[Ventes]]/Tableau3[[#This Row],[prospet]])</f>
        <v>0.46153846153846156</v>
      </c>
      <c r="K370">
        <v>4587211</v>
      </c>
    </row>
    <row r="371" spans="1:11" hidden="1" x14ac:dyDescent="0.3">
      <c r="A371" s="1">
        <v>46179</v>
      </c>
      <c r="B371" t="s">
        <v>62</v>
      </c>
      <c r="C371" t="s">
        <v>90</v>
      </c>
      <c r="D371" t="s">
        <v>62</v>
      </c>
      <c r="E371">
        <v>17</v>
      </c>
      <c r="F371">
        <v>1</v>
      </c>
      <c r="G371" s="2">
        <v>1.39</v>
      </c>
      <c r="H371">
        <v>10000</v>
      </c>
      <c r="I371">
        <v>2500</v>
      </c>
      <c r="J371" s="8">
        <f>IF(Tableau3[[#This Row],[prospet]]=0,0,Tableau3[[#This Row],[Ventes]]/Tableau3[[#This Row],[prospet]])</f>
        <v>5.8823529411764705E-2</v>
      </c>
      <c r="K371">
        <v>4221767</v>
      </c>
    </row>
    <row r="372" spans="1:11" hidden="1" x14ac:dyDescent="0.3">
      <c r="A372" s="1">
        <v>46179</v>
      </c>
      <c r="B372" t="s">
        <v>63</v>
      </c>
      <c r="C372" t="s">
        <v>91</v>
      </c>
      <c r="D372" t="s">
        <v>154</v>
      </c>
      <c r="E372">
        <v>0</v>
      </c>
      <c r="G372" s="2">
        <v>0</v>
      </c>
      <c r="J372" s="8">
        <f>IF(Tableau3[[#This Row],[prospet]]=0,0,Tableau3[[#This Row],[Ventes]]/Tableau3[[#This Row],[prospet]])</f>
        <v>0</v>
      </c>
    </row>
    <row r="373" spans="1:11" hidden="1" x14ac:dyDescent="0.3">
      <c r="A373" s="1">
        <v>46179</v>
      </c>
      <c r="B373" t="s">
        <v>64</v>
      </c>
      <c r="C373" t="s">
        <v>29</v>
      </c>
      <c r="D373" t="s">
        <v>64</v>
      </c>
      <c r="E373">
        <v>18</v>
      </c>
      <c r="G373" s="2">
        <v>1.08</v>
      </c>
      <c r="J373" s="8">
        <f>IF(Tableau3[[#This Row],[prospet]]=0,0,Tableau3[[#This Row],[Ventes]]/Tableau3[[#This Row],[prospet]])</f>
        <v>0</v>
      </c>
      <c r="K373">
        <v>4080782</v>
      </c>
    </row>
    <row r="374" spans="1:11" hidden="1" x14ac:dyDescent="0.3">
      <c r="A374" s="1">
        <v>46179</v>
      </c>
      <c r="B374" t="s">
        <v>81</v>
      </c>
      <c r="C374" t="s">
        <v>92</v>
      </c>
      <c r="D374" t="s">
        <v>81</v>
      </c>
      <c r="E374">
        <v>13</v>
      </c>
      <c r="G374" s="2">
        <v>1.5</v>
      </c>
      <c r="J374" s="8">
        <f>IF(Tableau3[[#This Row],[prospet]]=0,0,Tableau3[[#This Row],[Ventes]]/Tableau3[[#This Row],[prospet]])</f>
        <v>0</v>
      </c>
      <c r="K374">
        <v>4559847</v>
      </c>
    </row>
    <row r="375" spans="1:11" hidden="1" x14ac:dyDescent="0.3">
      <c r="A375" s="1">
        <v>46179</v>
      </c>
      <c r="B375" t="s">
        <v>82</v>
      </c>
      <c r="C375" t="s">
        <v>11</v>
      </c>
      <c r="D375" t="s">
        <v>82</v>
      </c>
      <c r="E375">
        <v>11</v>
      </c>
      <c r="G375" s="2">
        <v>1.25</v>
      </c>
      <c r="J375" s="8">
        <f>IF(Tableau3[[#This Row],[prospet]]=0,0,Tableau3[[#This Row],[Ventes]]/Tableau3[[#This Row],[prospet]])</f>
        <v>0</v>
      </c>
      <c r="K375">
        <v>4541035</v>
      </c>
    </row>
    <row r="376" spans="1:11" hidden="1" x14ac:dyDescent="0.3">
      <c r="A376" s="1">
        <v>46179</v>
      </c>
      <c r="B376" t="s">
        <v>97</v>
      </c>
      <c r="C376" t="s">
        <v>93</v>
      </c>
      <c r="D376" t="s">
        <v>97</v>
      </c>
      <c r="E376">
        <v>25</v>
      </c>
      <c r="F376">
        <v>1</v>
      </c>
      <c r="G376" s="2">
        <v>1.38</v>
      </c>
      <c r="H376">
        <v>12500</v>
      </c>
      <c r="I376">
        <v>2500</v>
      </c>
      <c r="J376" s="8">
        <f>IF(Tableau3[[#This Row],[prospet]]=0,0,Tableau3[[#This Row],[Ventes]]/Tableau3[[#This Row],[prospet]])</f>
        <v>0.04</v>
      </c>
      <c r="K376">
        <v>4636761</v>
      </c>
    </row>
    <row r="377" spans="1:11" hidden="1" x14ac:dyDescent="0.3">
      <c r="A377" s="1">
        <v>46179</v>
      </c>
      <c r="B377" t="s">
        <v>80</v>
      </c>
      <c r="C377" t="s">
        <v>94</v>
      </c>
      <c r="D377" t="s">
        <v>155</v>
      </c>
      <c r="E377">
        <v>19</v>
      </c>
      <c r="G377" s="2">
        <v>1.72</v>
      </c>
      <c r="J377" s="8">
        <f>IF(Tableau3[[#This Row],[prospet]]=0,0,Tableau3[[#This Row],[Ventes]]/Tableau3[[#This Row],[prospet]])</f>
        <v>0</v>
      </c>
      <c r="K377">
        <v>4636772</v>
      </c>
    </row>
    <row r="378" spans="1:11" hidden="1" x14ac:dyDescent="0.3">
      <c r="A378" s="1">
        <v>46179</v>
      </c>
      <c r="B378" t="s">
        <v>83</v>
      </c>
      <c r="C378" t="s">
        <v>95</v>
      </c>
      <c r="D378" t="s">
        <v>83</v>
      </c>
      <c r="E378">
        <v>15</v>
      </c>
      <c r="F378">
        <v>1</v>
      </c>
      <c r="G378" s="2">
        <v>1.98</v>
      </c>
      <c r="H378">
        <v>13500</v>
      </c>
      <c r="I378">
        <v>2500</v>
      </c>
      <c r="J378" s="8">
        <f>IF(Tableau3[[#This Row],[prospet]]=0,0,Tableau3[[#This Row],[Ventes]]/Tableau3[[#This Row],[prospet]])</f>
        <v>6.6666666666666666E-2</v>
      </c>
    </row>
    <row r="379" spans="1:11" hidden="1" x14ac:dyDescent="0.3">
      <c r="A379" s="1">
        <v>46179</v>
      </c>
      <c r="B379" t="s">
        <v>84</v>
      </c>
      <c r="C379" t="s">
        <v>96</v>
      </c>
      <c r="D379" t="s">
        <v>84</v>
      </c>
      <c r="E379">
        <v>30</v>
      </c>
      <c r="G379" s="2">
        <v>1.89</v>
      </c>
      <c r="J379" s="8">
        <f>IF(Tableau3[[#This Row],[prospet]]=0,0,Tableau3[[#This Row],[Ventes]]/Tableau3[[#This Row],[prospet]])</f>
        <v>0</v>
      </c>
      <c r="K379">
        <v>4587817</v>
      </c>
    </row>
    <row r="380" spans="1:11" hidden="1" x14ac:dyDescent="0.3">
      <c r="A380" s="1">
        <v>46179</v>
      </c>
      <c r="B380" t="s">
        <v>98</v>
      </c>
      <c r="C380" t="s">
        <v>99</v>
      </c>
      <c r="D380" t="s">
        <v>98</v>
      </c>
      <c r="E380">
        <v>11</v>
      </c>
      <c r="F380">
        <v>1</v>
      </c>
      <c r="G380" s="2">
        <v>1.67</v>
      </c>
      <c r="H380">
        <v>12500</v>
      </c>
      <c r="I380">
        <v>2500</v>
      </c>
      <c r="J380" s="8">
        <f>IF(Tableau3[[#This Row],[prospet]]=0,0,Tableau3[[#This Row],[Ventes]]/Tableau3[[#This Row],[prospet]])</f>
        <v>9.0909090909090912E-2</v>
      </c>
      <c r="K380">
        <v>3330821</v>
      </c>
    </row>
    <row r="381" spans="1:11" hidden="1" x14ac:dyDescent="0.3">
      <c r="A381" s="1">
        <v>46179</v>
      </c>
      <c r="B381" t="s">
        <v>109</v>
      </c>
      <c r="C381" t="s">
        <v>110</v>
      </c>
      <c r="D381" t="s">
        <v>109</v>
      </c>
      <c r="E381">
        <v>0</v>
      </c>
      <c r="G381" s="2">
        <v>0</v>
      </c>
      <c r="J381" s="8">
        <f>IF(Tableau3[[#This Row],[prospet]]=0,0,Tableau3[[#This Row],[Ventes]]/Tableau3[[#This Row],[prospet]])</f>
        <v>0</v>
      </c>
    </row>
    <row r="382" spans="1:11" hidden="1" x14ac:dyDescent="0.3">
      <c r="A382" s="1">
        <v>46179</v>
      </c>
      <c r="B382" t="s">
        <v>111</v>
      </c>
      <c r="C382" t="s">
        <v>138</v>
      </c>
      <c r="D382" t="s">
        <v>115</v>
      </c>
      <c r="E382">
        <v>10</v>
      </c>
      <c r="G382" s="2">
        <v>1.0900000000000001</v>
      </c>
      <c r="J382" s="8">
        <f>IF(Tableau3[[#This Row],[prospet]]=0,0,Tableau3[[#This Row],[Ventes]]/Tableau3[[#This Row],[prospet]])</f>
        <v>0</v>
      </c>
    </row>
    <row r="383" spans="1:11" hidden="1" x14ac:dyDescent="0.3">
      <c r="A383" s="1">
        <v>46179</v>
      </c>
      <c r="B383" t="s">
        <v>112</v>
      </c>
      <c r="C383" t="s">
        <v>138</v>
      </c>
      <c r="D383" t="s">
        <v>113</v>
      </c>
      <c r="E383">
        <v>11</v>
      </c>
      <c r="G383" s="2">
        <v>1.02</v>
      </c>
      <c r="J383" s="8">
        <f>IF(Tableau3[[#This Row],[prospet]]=0,0,Tableau3[[#This Row],[Ventes]]/Tableau3[[#This Row],[prospet]])</f>
        <v>0</v>
      </c>
    </row>
    <row r="384" spans="1:11" hidden="1" x14ac:dyDescent="0.3">
      <c r="A384" s="1">
        <v>46180</v>
      </c>
      <c r="B384" t="s">
        <v>16</v>
      </c>
      <c r="C384" t="s">
        <v>85</v>
      </c>
      <c r="D384" t="s">
        <v>18</v>
      </c>
      <c r="E384">
        <v>26</v>
      </c>
      <c r="G384" s="2">
        <v>2.19</v>
      </c>
      <c r="J384" s="8">
        <f>IF(Tableau3[[#This Row],[prospet]]=0,0,Tableau3[[#This Row],[Ventes]]/Tableau3[[#This Row],[prospet]])</f>
        <v>0</v>
      </c>
    </row>
    <row r="385" spans="1:11" hidden="1" x14ac:dyDescent="0.3">
      <c r="A385" s="1">
        <v>46180</v>
      </c>
      <c r="B385" t="s">
        <v>9</v>
      </c>
      <c r="C385" t="s">
        <v>86</v>
      </c>
      <c r="D385" t="s">
        <v>13</v>
      </c>
      <c r="E385">
        <v>27</v>
      </c>
      <c r="G385" s="2">
        <v>1.87</v>
      </c>
      <c r="J385" s="8">
        <f>IF(Tableau3[[#This Row],[prospet]]=0,0,Tableau3[[#This Row],[Ventes]]/Tableau3[[#This Row],[prospet]])</f>
        <v>0</v>
      </c>
    </row>
    <row r="386" spans="1:11" hidden="1" x14ac:dyDescent="0.3">
      <c r="A386" s="1">
        <v>46180</v>
      </c>
      <c r="B386" t="s">
        <v>43</v>
      </c>
      <c r="C386" t="s">
        <v>11</v>
      </c>
      <c r="D386" t="s">
        <v>43</v>
      </c>
      <c r="E386">
        <v>3</v>
      </c>
      <c r="G386" s="2">
        <v>0.14000000000000001</v>
      </c>
      <c r="J386" s="8">
        <f>IF(Tableau3[[#This Row],[prospet]]=0,0,Tableau3[[#This Row],[Ventes]]/Tableau3[[#This Row],[prospet]])</f>
        <v>0</v>
      </c>
    </row>
    <row r="387" spans="1:11" hidden="1" x14ac:dyDescent="0.3">
      <c r="A387" s="1">
        <v>46180</v>
      </c>
      <c r="B387" t="s">
        <v>30</v>
      </c>
      <c r="C387" t="s">
        <v>88</v>
      </c>
      <c r="D387" t="s">
        <v>30</v>
      </c>
      <c r="E387">
        <v>21</v>
      </c>
      <c r="G387" s="2">
        <v>2</v>
      </c>
      <c r="J387" s="8">
        <f>IF(Tableau3[[#This Row],[prospet]]=0,0,Tableau3[[#This Row],[Ventes]]/Tableau3[[#This Row],[prospet]])</f>
        <v>0</v>
      </c>
    </row>
    <row r="388" spans="1:11" hidden="1" x14ac:dyDescent="0.3">
      <c r="A388" s="1">
        <v>46180</v>
      </c>
      <c r="B388" t="s">
        <v>3</v>
      </c>
      <c r="C388" t="s">
        <v>89</v>
      </c>
      <c r="D388" t="s">
        <v>3</v>
      </c>
      <c r="E388">
        <v>21</v>
      </c>
      <c r="G388" s="2">
        <v>1.84</v>
      </c>
      <c r="J388" s="8">
        <f>IF(Tableau3[[#This Row],[prospet]]=0,0,Tableau3[[#This Row],[Ventes]]/Tableau3[[#This Row],[prospet]])</f>
        <v>0</v>
      </c>
    </row>
    <row r="389" spans="1:11" hidden="1" x14ac:dyDescent="0.3">
      <c r="A389" s="1">
        <v>46180</v>
      </c>
      <c r="B389" t="s">
        <v>60</v>
      </c>
      <c r="C389" t="s">
        <v>85</v>
      </c>
      <c r="D389" t="s">
        <v>61</v>
      </c>
      <c r="E389">
        <v>38</v>
      </c>
      <c r="G389" s="2">
        <v>2.2200000000000002</v>
      </c>
      <c r="J389" s="8">
        <f>IF(Tableau3[[#This Row],[prospet]]=0,0,Tableau3[[#This Row],[Ventes]]/Tableau3[[#This Row],[prospet]])</f>
        <v>0</v>
      </c>
      <c r="K389">
        <v>4587211</v>
      </c>
    </row>
    <row r="390" spans="1:11" hidden="1" x14ac:dyDescent="0.3">
      <c r="A390" s="1">
        <v>46180</v>
      </c>
      <c r="B390" t="s">
        <v>62</v>
      </c>
      <c r="C390" t="s">
        <v>90</v>
      </c>
      <c r="D390" t="s">
        <v>62</v>
      </c>
      <c r="E390">
        <v>20</v>
      </c>
      <c r="G390" s="2">
        <v>2.06</v>
      </c>
      <c r="J390" s="8">
        <f>IF(Tableau3[[#This Row],[prospet]]=0,0,Tableau3[[#This Row],[Ventes]]/Tableau3[[#This Row],[prospet]])</f>
        <v>0</v>
      </c>
      <c r="K390">
        <v>4221767</v>
      </c>
    </row>
    <row r="391" spans="1:11" hidden="1" x14ac:dyDescent="0.3">
      <c r="A391" s="1">
        <v>46180</v>
      </c>
      <c r="B391" t="s">
        <v>63</v>
      </c>
      <c r="C391" t="s">
        <v>91</v>
      </c>
      <c r="D391" t="s">
        <v>154</v>
      </c>
      <c r="E391">
        <v>0</v>
      </c>
      <c r="G391" s="2">
        <v>0</v>
      </c>
      <c r="J391" s="8">
        <f>IF(Tableau3[[#This Row],[prospet]]=0,0,Tableau3[[#This Row],[Ventes]]/Tableau3[[#This Row],[prospet]])</f>
        <v>0</v>
      </c>
    </row>
    <row r="392" spans="1:11" hidden="1" x14ac:dyDescent="0.3">
      <c r="A392" s="1">
        <v>46180</v>
      </c>
      <c r="B392" t="s">
        <v>64</v>
      </c>
      <c r="C392" t="s">
        <v>29</v>
      </c>
      <c r="D392" t="s">
        <v>64</v>
      </c>
      <c r="E392">
        <v>31</v>
      </c>
      <c r="G392" s="2">
        <v>2.11</v>
      </c>
      <c r="J392" s="8">
        <f>IF(Tableau3[[#This Row],[prospet]]=0,0,Tableau3[[#This Row],[Ventes]]/Tableau3[[#This Row],[prospet]])</f>
        <v>0</v>
      </c>
      <c r="K392">
        <v>4080782</v>
      </c>
    </row>
    <row r="393" spans="1:11" hidden="1" x14ac:dyDescent="0.3">
      <c r="A393" s="1">
        <v>46180</v>
      </c>
      <c r="B393" t="s">
        <v>81</v>
      </c>
      <c r="C393" t="s">
        <v>92</v>
      </c>
      <c r="D393" t="s">
        <v>81</v>
      </c>
      <c r="E393">
        <v>29</v>
      </c>
      <c r="G393" s="2">
        <v>2.25</v>
      </c>
      <c r="J393" s="8">
        <f>IF(Tableau3[[#This Row],[prospet]]=0,0,Tableau3[[#This Row],[Ventes]]/Tableau3[[#This Row],[prospet]])</f>
        <v>0</v>
      </c>
      <c r="K393">
        <v>4559847</v>
      </c>
    </row>
    <row r="394" spans="1:11" hidden="1" x14ac:dyDescent="0.3">
      <c r="A394" s="1">
        <v>46180</v>
      </c>
      <c r="B394" t="s">
        <v>82</v>
      </c>
      <c r="C394" t="s">
        <v>11</v>
      </c>
      <c r="D394" t="s">
        <v>82</v>
      </c>
      <c r="E394">
        <v>24</v>
      </c>
      <c r="G394" s="2">
        <v>2.2599999999999998</v>
      </c>
      <c r="J394" s="8">
        <f>IF(Tableau3[[#This Row],[prospet]]=0,0,Tableau3[[#This Row],[Ventes]]/Tableau3[[#This Row],[prospet]])</f>
        <v>0</v>
      </c>
      <c r="K394">
        <v>4541035</v>
      </c>
    </row>
    <row r="395" spans="1:11" hidden="1" x14ac:dyDescent="0.3">
      <c r="A395" s="1">
        <v>46180</v>
      </c>
      <c r="B395" t="s">
        <v>97</v>
      </c>
      <c r="C395" t="s">
        <v>93</v>
      </c>
      <c r="D395" t="s">
        <v>97</v>
      </c>
      <c r="E395">
        <v>21</v>
      </c>
      <c r="G395" s="2">
        <v>2.09</v>
      </c>
      <c r="J395" s="8">
        <f>IF(Tableau3[[#This Row],[prospet]]=0,0,Tableau3[[#This Row],[Ventes]]/Tableau3[[#This Row],[prospet]])</f>
        <v>0</v>
      </c>
      <c r="K395">
        <v>4636761</v>
      </c>
    </row>
    <row r="396" spans="1:11" hidden="1" x14ac:dyDescent="0.3">
      <c r="A396" s="1">
        <v>46180</v>
      </c>
      <c r="B396" t="s">
        <v>80</v>
      </c>
      <c r="C396" t="s">
        <v>94</v>
      </c>
      <c r="D396" t="s">
        <v>155</v>
      </c>
      <c r="E396">
        <v>14</v>
      </c>
      <c r="G396" s="2">
        <v>2</v>
      </c>
      <c r="J396" s="8">
        <f>IF(Tableau3[[#This Row],[prospet]]=0,0,Tableau3[[#This Row],[Ventes]]/Tableau3[[#This Row],[prospet]])</f>
        <v>0</v>
      </c>
      <c r="K396">
        <v>4636772</v>
      </c>
    </row>
    <row r="397" spans="1:11" hidden="1" x14ac:dyDescent="0.3">
      <c r="A397" s="1">
        <v>46180</v>
      </c>
      <c r="B397" t="s">
        <v>83</v>
      </c>
      <c r="C397" t="s">
        <v>95</v>
      </c>
      <c r="D397" t="s">
        <v>83</v>
      </c>
      <c r="E397">
        <v>45</v>
      </c>
      <c r="G397" s="2">
        <v>1.99</v>
      </c>
      <c r="J397" s="8">
        <f>IF(Tableau3[[#This Row],[prospet]]=0,0,Tableau3[[#This Row],[Ventes]]/Tableau3[[#This Row],[prospet]])</f>
        <v>0</v>
      </c>
    </row>
    <row r="398" spans="1:11" hidden="1" x14ac:dyDescent="0.3">
      <c r="A398" s="1">
        <v>46180</v>
      </c>
      <c r="B398" t="s">
        <v>84</v>
      </c>
      <c r="C398" t="s">
        <v>96</v>
      </c>
      <c r="D398" t="s">
        <v>84</v>
      </c>
      <c r="E398">
        <v>19</v>
      </c>
      <c r="G398" s="2">
        <v>2.11</v>
      </c>
      <c r="J398" s="8">
        <f>IF(Tableau3[[#This Row],[prospet]]=0,0,Tableau3[[#This Row],[Ventes]]/Tableau3[[#This Row],[prospet]])</f>
        <v>0</v>
      </c>
      <c r="K398">
        <v>4587817</v>
      </c>
    </row>
    <row r="399" spans="1:11" hidden="1" x14ac:dyDescent="0.3">
      <c r="A399" s="1">
        <v>46180</v>
      </c>
      <c r="B399" t="s">
        <v>98</v>
      </c>
      <c r="C399" t="s">
        <v>99</v>
      </c>
      <c r="D399" t="s">
        <v>98</v>
      </c>
      <c r="E399">
        <v>17</v>
      </c>
      <c r="G399" s="2">
        <v>1.66</v>
      </c>
      <c r="J399" s="8">
        <f>IF(Tableau3[[#This Row],[prospet]]=0,0,Tableau3[[#This Row],[Ventes]]/Tableau3[[#This Row],[prospet]])</f>
        <v>0</v>
      </c>
      <c r="K399">
        <v>3330821</v>
      </c>
    </row>
    <row r="400" spans="1:11" hidden="1" x14ac:dyDescent="0.3">
      <c r="A400" s="1">
        <v>46180</v>
      </c>
      <c r="B400" t="s">
        <v>109</v>
      </c>
      <c r="C400" t="s">
        <v>110</v>
      </c>
      <c r="D400" t="s">
        <v>109</v>
      </c>
      <c r="E400">
        <v>73</v>
      </c>
      <c r="G400" s="2">
        <v>2.16</v>
      </c>
      <c r="J400" s="8">
        <f>IF(Tableau3[[#This Row],[prospet]]=0,0,Tableau3[[#This Row],[Ventes]]/Tableau3[[#This Row],[prospet]])</f>
        <v>0</v>
      </c>
    </row>
    <row r="401" spans="1:11" hidden="1" x14ac:dyDescent="0.3">
      <c r="A401" s="1">
        <v>46180</v>
      </c>
      <c r="B401" t="s">
        <v>111</v>
      </c>
      <c r="C401" t="s">
        <v>138</v>
      </c>
      <c r="D401" t="s">
        <v>115</v>
      </c>
      <c r="E401">
        <v>18</v>
      </c>
      <c r="G401" s="2">
        <v>2.08</v>
      </c>
      <c r="J401" s="8">
        <f>IF(Tableau3[[#This Row],[prospet]]=0,0,Tableau3[[#This Row],[Ventes]]/Tableau3[[#This Row],[prospet]])</f>
        <v>0</v>
      </c>
    </row>
    <row r="402" spans="1:11" hidden="1" x14ac:dyDescent="0.3">
      <c r="A402" s="1">
        <v>46180</v>
      </c>
      <c r="B402" t="s">
        <v>112</v>
      </c>
      <c r="C402" t="s">
        <v>138</v>
      </c>
      <c r="D402" t="s">
        <v>113</v>
      </c>
      <c r="E402">
        <v>14</v>
      </c>
      <c r="G402" s="2">
        <v>2.17</v>
      </c>
      <c r="J402" s="8">
        <f>IF(Tableau3[[#This Row],[prospet]]=0,0,Tableau3[[#This Row],[Ventes]]/Tableau3[[#This Row],[prospet]])</f>
        <v>0</v>
      </c>
    </row>
    <row r="403" spans="1:11" hidden="1" x14ac:dyDescent="0.3">
      <c r="A403" s="1">
        <v>46181</v>
      </c>
      <c r="B403" t="s">
        <v>16</v>
      </c>
      <c r="C403" t="s">
        <v>85</v>
      </c>
      <c r="D403" t="s">
        <v>18</v>
      </c>
      <c r="E403">
        <v>4</v>
      </c>
      <c r="F403">
        <v>3</v>
      </c>
      <c r="G403" s="2">
        <v>0.38</v>
      </c>
      <c r="H403">
        <v>37500</v>
      </c>
      <c r="I403">
        <v>7500</v>
      </c>
      <c r="J403" s="8">
        <f>IF(Tableau3[[#This Row],[prospet]]=0,0,Tableau3[[#This Row],[Ventes]]/Tableau3[[#This Row],[prospet]])</f>
        <v>0.75</v>
      </c>
    </row>
    <row r="404" spans="1:11" hidden="1" x14ac:dyDescent="0.3">
      <c r="A404" s="1">
        <v>46181</v>
      </c>
      <c r="B404" t="s">
        <v>9</v>
      </c>
      <c r="C404" t="s">
        <v>86</v>
      </c>
      <c r="D404" t="s">
        <v>13</v>
      </c>
      <c r="E404">
        <v>8</v>
      </c>
      <c r="F404">
        <v>2</v>
      </c>
      <c r="G404" s="2">
        <v>0.4</v>
      </c>
      <c r="H404">
        <v>8000</v>
      </c>
      <c r="I404">
        <v>2000</v>
      </c>
      <c r="J404" s="8">
        <f>IF(Tableau3[[#This Row],[prospet]]=0,0,Tableau3[[#This Row],[Ventes]]/Tableau3[[#This Row],[prospet]])</f>
        <v>0.25</v>
      </c>
    </row>
    <row r="405" spans="1:11" hidden="1" x14ac:dyDescent="0.3">
      <c r="A405" s="1">
        <v>46181</v>
      </c>
      <c r="B405" t="s">
        <v>43</v>
      </c>
      <c r="C405" t="s">
        <v>11</v>
      </c>
      <c r="D405" t="s">
        <v>43</v>
      </c>
      <c r="E405">
        <v>0</v>
      </c>
      <c r="F405">
        <v>2</v>
      </c>
      <c r="G405" s="2">
        <v>0</v>
      </c>
      <c r="H405">
        <f>12500+10000</f>
        <v>22500</v>
      </c>
      <c r="I405">
        <v>5000</v>
      </c>
      <c r="J405" s="8">
        <f>IF(Tableau3[[#This Row],[prospet]]=0,0,Tableau3[[#This Row],[Ventes]]/Tableau3[[#This Row],[prospet]])</f>
        <v>0</v>
      </c>
    </row>
    <row r="406" spans="1:11" hidden="1" x14ac:dyDescent="0.3">
      <c r="A406" s="1">
        <v>46181</v>
      </c>
      <c r="B406" t="s">
        <v>30</v>
      </c>
      <c r="C406" t="s">
        <v>88</v>
      </c>
      <c r="D406" t="s">
        <v>30</v>
      </c>
      <c r="E406">
        <v>4</v>
      </c>
      <c r="F406">
        <v>1</v>
      </c>
      <c r="G406" s="2">
        <v>0.4</v>
      </c>
      <c r="H406">
        <v>20000</v>
      </c>
      <c r="I406">
        <v>2000</v>
      </c>
      <c r="J406" s="8">
        <f>IF(Tableau3[[#This Row],[prospet]]=0,0,Tableau3[[#This Row],[Ventes]]/Tableau3[[#This Row],[prospet]])</f>
        <v>0.25</v>
      </c>
    </row>
    <row r="407" spans="1:11" hidden="1" x14ac:dyDescent="0.3">
      <c r="A407" s="1">
        <v>46181</v>
      </c>
      <c r="B407" t="s">
        <v>3</v>
      </c>
      <c r="C407" t="s">
        <v>89</v>
      </c>
      <c r="D407" t="s">
        <v>3</v>
      </c>
      <c r="E407">
        <v>7</v>
      </c>
      <c r="F407">
        <v>4</v>
      </c>
      <c r="G407" s="2">
        <v>0.78</v>
      </c>
      <c r="H407">
        <f>4000+9000</f>
        <v>13000</v>
      </c>
      <c r="I407">
        <f>1000+3000</f>
        <v>4000</v>
      </c>
      <c r="J407" s="8">
        <f>IF(Tableau3[[#This Row],[prospet]]=0,0,Tableau3[[#This Row],[Ventes]]/Tableau3[[#This Row],[prospet]])</f>
        <v>0.5714285714285714</v>
      </c>
    </row>
    <row r="408" spans="1:11" hidden="1" x14ac:dyDescent="0.3">
      <c r="A408" s="1">
        <v>46181</v>
      </c>
      <c r="B408" t="s">
        <v>60</v>
      </c>
      <c r="C408" t="s">
        <v>85</v>
      </c>
      <c r="D408" t="s">
        <v>61</v>
      </c>
      <c r="E408">
        <v>4</v>
      </c>
      <c r="F408">
        <v>3</v>
      </c>
      <c r="G408" s="2">
        <v>0.38</v>
      </c>
      <c r="H408">
        <v>12000</v>
      </c>
      <c r="I408">
        <v>3000</v>
      </c>
      <c r="J408" s="8">
        <f>IF(Tableau3[[#This Row],[prospet]]=0,0,Tableau3[[#This Row],[Ventes]]/Tableau3[[#This Row],[prospet]])</f>
        <v>0.75</v>
      </c>
      <c r="K408">
        <v>4587211</v>
      </c>
    </row>
    <row r="409" spans="1:11" hidden="1" x14ac:dyDescent="0.3">
      <c r="A409" s="1">
        <v>46181</v>
      </c>
      <c r="B409" t="s">
        <v>62</v>
      </c>
      <c r="C409" t="s">
        <v>90</v>
      </c>
      <c r="D409" t="s">
        <v>62</v>
      </c>
      <c r="E409">
        <v>0</v>
      </c>
      <c r="F409">
        <v>6</v>
      </c>
      <c r="G409" s="2">
        <v>0.44</v>
      </c>
      <c r="H409">
        <f>20000+4000*3+12500</f>
        <v>44500</v>
      </c>
      <c r="I409">
        <f>5000+3000+2500</f>
        <v>10500</v>
      </c>
      <c r="J409" s="8">
        <f>IF(Tableau3[[#This Row],[prospet]]=0,0,Tableau3[[#This Row],[Ventes]]/Tableau3[[#This Row],[prospet]])</f>
        <v>0</v>
      </c>
      <c r="K409">
        <v>4221767</v>
      </c>
    </row>
    <row r="410" spans="1:11" hidden="1" x14ac:dyDescent="0.3">
      <c r="A410" s="1">
        <v>46181</v>
      </c>
      <c r="B410" t="s">
        <v>63</v>
      </c>
      <c r="C410" t="s">
        <v>91</v>
      </c>
      <c r="D410" t="s">
        <v>154</v>
      </c>
      <c r="E410">
        <v>2</v>
      </c>
      <c r="F410">
        <v>1</v>
      </c>
      <c r="G410" s="2">
        <v>0.25</v>
      </c>
      <c r="H410">
        <v>17500</v>
      </c>
      <c r="I410">
        <v>2500</v>
      </c>
      <c r="J410" s="8">
        <f>IF(Tableau3[[#This Row],[prospet]]=0,0,Tableau3[[#This Row],[Ventes]]/Tableau3[[#This Row],[prospet]])</f>
        <v>0.5</v>
      </c>
    </row>
    <row r="411" spans="1:11" hidden="1" x14ac:dyDescent="0.3">
      <c r="A411" s="1">
        <v>46181</v>
      </c>
      <c r="B411" t="s">
        <v>64</v>
      </c>
      <c r="C411" t="s">
        <v>29</v>
      </c>
      <c r="D411" t="s">
        <v>64</v>
      </c>
      <c r="E411">
        <v>5</v>
      </c>
      <c r="G411" s="2">
        <v>0.52</v>
      </c>
      <c r="J411" s="8">
        <f>IF(Tableau3[[#This Row],[prospet]]=0,0,Tableau3[[#This Row],[Ventes]]/Tableau3[[#This Row],[prospet]])</f>
        <v>0</v>
      </c>
      <c r="K411">
        <v>4080782</v>
      </c>
    </row>
    <row r="412" spans="1:11" hidden="1" x14ac:dyDescent="0.3">
      <c r="A412" s="1">
        <v>46181</v>
      </c>
      <c r="B412" t="s">
        <v>81</v>
      </c>
      <c r="C412" t="s">
        <v>92</v>
      </c>
      <c r="D412" t="s">
        <v>81</v>
      </c>
      <c r="E412">
        <v>3</v>
      </c>
      <c r="F412">
        <v>2</v>
      </c>
      <c r="G412" s="2">
        <v>0.3</v>
      </c>
      <c r="H412">
        <v>8000</v>
      </c>
      <c r="I412">
        <v>2000</v>
      </c>
      <c r="J412" s="8">
        <f>IF(Tableau3[[#This Row],[prospet]]=0,0,Tableau3[[#This Row],[Ventes]]/Tableau3[[#This Row],[prospet]])</f>
        <v>0.66666666666666663</v>
      </c>
      <c r="K412">
        <v>4559847</v>
      </c>
    </row>
    <row r="413" spans="1:11" hidden="1" x14ac:dyDescent="0.3">
      <c r="A413" s="1">
        <v>46181</v>
      </c>
      <c r="B413" t="s">
        <v>82</v>
      </c>
      <c r="C413" t="s">
        <v>11</v>
      </c>
      <c r="D413" t="s">
        <v>82</v>
      </c>
      <c r="E413">
        <v>13</v>
      </c>
      <c r="G413" s="2">
        <v>0.96</v>
      </c>
      <c r="J413" s="8">
        <f>IF(Tableau3[[#This Row],[prospet]]=0,0,Tableau3[[#This Row],[Ventes]]/Tableau3[[#This Row],[prospet]])</f>
        <v>0</v>
      </c>
      <c r="K413">
        <v>4541035</v>
      </c>
    </row>
    <row r="414" spans="1:11" hidden="1" x14ac:dyDescent="0.3">
      <c r="A414" s="1">
        <v>46181</v>
      </c>
      <c r="B414" t="s">
        <v>97</v>
      </c>
      <c r="C414" t="s">
        <v>93</v>
      </c>
      <c r="D414" t="s">
        <v>97</v>
      </c>
      <c r="E414">
        <v>3</v>
      </c>
      <c r="G414" s="2">
        <v>0.43</v>
      </c>
      <c r="J414" s="8">
        <f>IF(Tableau3[[#This Row],[prospet]]=0,0,Tableau3[[#This Row],[Ventes]]/Tableau3[[#This Row],[prospet]])</f>
        <v>0</v>
      </c>
      <c r="K414">
        <v>4636761</v>
      </c>
    </row>
    <row r="415" spans="1:11" hidden="1" x14ac:dyDescent="0.3">
      <c r="A415" s="1">
        <v>46181</v>
      </c>
      <c r="B415" t="s">
        <v>80</v>
      </c>
      <c r="C415" t="s">
        <v>94</v>
      </c>
      <c r="D415" t="s">
        <v>155</v>
      </c>
      <c r="E415">
        <v>4</v>
      </c>
      <c r="F415">
        <v>4</v>
      </c>
      <c r="G415" s="2">
        <v>0.24</v>
      </c>
      <c r="H415">
        <f>25000+30000</f>
        <v>55000</v>
      </c>
      <c r="I415">
        <f>10000</f>
        <v>10000</v>
      </c>
      <c r="J415" s="8">
        <f>IF(Tableau3[[#This Row],[prospet]]=0,0,Tableau3[[#This Row],[Ventes]]/Tableau3[[#This Row],[prospet]])</f>
        <v>1</v>
      </c>
      <c r="K415">
        <v>4636772</v>
      </c>
    </row>
    <row r="416" spans="1:11" hidden="1" x14ac:dyDescent="0.3">
      <c r="A416" s="1">
        <v>46181</v>
      </c>
      <c r="B416" t="s">
        <v>83</v>
      </c>
      <c r="C416" t="s">
        <v>95</v>
      </c>
      <c r="D416" t="s">
        <v>83</v>
      </c>
      <c r="E416">
        <v>5</v>
      </c>
      <c r="F416">
        <v>2</v>
      </c>
      <c r="G416" s="2">
        <v>0.51</v>
      </c>
      <c r="H416">
        <v>9000</v>
      </c>
      <c r="I416">
        <v>2000</v>
      </c>
      <c r="J416" s="8">
        <f>IF(Tableau3[[#This Row],[prospet]]=0,0,Tableau3[[#This Row],[Ventes]]/Tableau3[[#This Row],[prospet]])</f>
        <v>0.4</v>
      </c>
    </row>
    <row r="417" spans="1:11" hidden="1" x14ac:dyDescent="0.3">
      <c r="A417" s="1">
        <v>46181</v>
      </c>
      <c r="B417" t="s">
        <v>84</v>
      </c>
      <c r="C417" t="s">
        <v>96</v>
      </c>
      <c r="D417" t="s">
        <v>84</v>
      </c>
      <c r="E417">
        <v>1</v>
      </c>
      <c r="F417">
        <v>3</v>
      </c>
      <c r="G417" s="2">
        <v>0.23</v>
      </c>
      <c r="H417">
        <f>4000+25000</f>
        <v>29000</v>
      </c>
      <c r="I417">
        <f>1000+5000</f>
        <v>6000</v>
      </c>
      <c r="J417" s="8">
        <f>IF(Tableau3[[#This Row],[prospet]]=0,0,Tableau3[[#This Row],[Ventes]]/Tableau3[[#This Row],[prospet]])</f>
        <v>3</v>
      </c>
      <c r="K417">
        <v>4587817</v>
      </c>
    </row>
    <row r="418" spans="1:11" hidden="1" x14ac:dyDescent="0.3">
      <c r="A418" s="1">
        <v>46181</v>
      </c>
      <c r="B418" t="s">
        <v>98</v>
      </c>
      <c r="C418" t="s">
        <v>99</v>
      </c>
      <c r="D418" t="s">
        <v>98</v>
      </c>
      <c r="E418">
        <v>12</v>
      </c>
      <c r="G418" s="2">
        <v>0.3</v>
      </c>
      <c r="J418" s="8">
        <f>IF(Tableau3[[#This Row],[prospet]]=0,0,Tableau3[[#This Row],[Ventes]]/Tableau3[[#This Row],[prospet]])</f>
        <v>0</v>
      </c>
      <c r="K418">
        <v>3330821</v>
      </c>
    </row>
    <row r="419" spans="1:11" hidden="1" x14ac:dyDescent="0.3">
      <c r="A419" s="1">
        <v>46181</v>
      </c>
      <c r="B419" t="s">
        <v>109</v>
      </c>
      <c r="C419" t="s">
        <v>110</v>
      </c>
      <c r="D419" t="s">
        <v>109</v>
      </c>
      <c r="E419">
        <v>5</v>
      </c>
      <c r="G419" s="2">
        <v>0.3</v>
      </c>
      <c r="J419" s="8">
        <f>IF(Tableau3[[#This Row],[prospet]]=0,0,Tableau3[[#This Row],[Ventes]]/Tableau3[[#This Row],[prospet]])</f>
        <v>0</v>
      </c>
    </row>
    <row r="420" spans="1:11" hidden="1" x14ac:dyDescent="0.3">
      <c r="A420" s="1">
        <v>46181</v>
      </c>
      <c r="B420" t="s">
        <v>111</v>
      </c>
      <c r="C420" t="s">
        <v>138</v>
      </c>
      <c r="D420" t="s">
        <v>115</v>
      </c>
      <c r="E420">
        <v>5</v>
      </c>
      <c r="F420">
        <v>1</v>
      </c>
      <c r="G420" s="2">
        <v>0.73</v>
      </c>
      <c r="H420">
        <v>10000</v>
      </c>
      <c r="I420">
        <v>2500</v>
      </c>
      <c r="J420" s="8">
        <f>IF(Tableau3[[#This Row],[prospet]]=0,0,Tableau3[[#This Row],[Ventes]]/Tableau3[[#This Row],[prospet]])</f>
        <v>0.2</v>
      </c>
    </row>
    <row r="421" spans="1:11" hidden="1" x14ac:dyDescent="0.3">
      <c r="A421" s="1">
        <v>46181</v>
      </c>
      <c r="B421" t="s">
        <v>112</v>
      </c>
      <c r="C421" t="s">
        <v>138</v>
      </c>
      <c r="D421" t="s">
        <v>113</v>
      </c>
      <c r="E421">
        <v>24</v>
      </c>
      <c r="G421" s="2">
        <v>1.24</v>
      </c>
      <c r="J421" s="8">
        <f>IF(Tableau3[[#This Row],[prospet]]=0,0,Tableau3[[#This Row],[Ventes]]/Tableau3[[#This Row],[prospet]])</f>
        <v>0</v>
      </c>
    </row>
    <row r="422" spans="1:11" hidden="1" x14ac:dyDescent="0.3">
      <c r="A422" s="1">
        <v>46182</v>
      </c>
      <c r="B422" t="s">
        <v>16</v>
      </c>
      <c r="C422" t="s">
        <v>85</v>
      </c>
      <c r="D422" t="s">
        <v>18</v>
      </c>
      <c r="E422">
        <v>1</v>
      </c>
      <c r="J422" s="8">
        <f>IF(Tableau3[[#This Row],[prospet]]=0,0,Tableau3[[#This Row],[Ventes]]/Tableau3[[#This Row],[prospet]])</f>
        <v>0</v>
      </c>
    </row>
    <row r="423" spans="1:11" hidden="1" x14ac:dyDescent="0.3">
      <c r="A423" s="1">
        <v>46182</v>
      </c>
      <c r="B423" t="s">
        <v>9</v>
      </c>
      <c r="C423" t="s">
        <v>86</v>
      </c>
      <c r="D423" t="s">
        <v>13</v>
      </c>
      <c r="F423">
        <v>1</v>
      </c>
      <c r="H423">
        <v>4000</v>
      </c>
      <c r="I423">
        <v>1000</v>
      </c>
      <c r="J423" s="8">
        <f>IF(Tableau3[[#This Row],[prospet]]=0,0,Tableau3[[#This Row],[Ventes]]/Tableau3[[#This Row],[prospet]])</f>
        <v>0</v>
      </c>
    </row>
    <row r="424" spans="1:11" hidden="1" x14ac:dyDescent="0.3">
      <c r="A424" s="1">
        <v>46182</v>
      </c>
      <c r="B424" t="s">
        <v>43</v>
      </c>
      <c r="C424" t="s">
        <v>11</v>
      </c>
      <c r="D424" t="s">
        <v>43</v>
      </c>
      <c r="F424">
        <v>3</v>
      </c>
      <c r="H424">
        <f>20000+15000</f>
        <v>35000</v>
      </c>
      <c r="I424">
        <f>7500</f>
        <v>7500</v>
      </c>
      <c r="J424" s="8">
        <f>IF(Tableau3[[#This Row],[prospet]]=0,0,Tableau3[[#This Row],[Ventes]]/Tableau3[[#This Row],[prospet]])</f>
        <v>0</v>
      </c>
    </row>
    <row r="425" spans="1:11" hidden="1" x14ac:dyDescent="0.3">
      <c r="A425" s="1">
        <v>46182</v>
      </c>
      <c r="B425" t="s">
        <v>30</v>
      </c>
      <c r="C425" t="s">
        <v>88</v>
      </c>
      <c r="D425" t="s">
        <v>30</v>
      </c>
      <c r="J425" s="8">
        <f>IF(Tableau3[[#This Row],[prospet]]=0,0,Tableau3[[#This Row],[Ventes]]/Tableau3[[#This Row],[prospet]])</f>
        <v>0</v>
      </c>
    </row>
    <row r="426" spans="1:11" hidden="1" x14ac:dyDescent="0.3">
      <c r="A426" s="1">
        <v>46182</v>
      </c>
      <c r="B426" t="s">
        <v>3</v>
      </c>
      <c r="C426" t="s">
        <v>89</v>
      </c>
      <c r="D426" t="s">
        <v>3</v>
      </c>
      <c r="F426">
        <v>2</v>
      </c>
      <c r="H426">
        <f>12500+4000</f>
        <v>16500</v>
      </c>
      <c r="I426">
        <v>3500</v>
      </c>
      <c r="J426" s="8">
        <f>IF(Tableau3[[#This Row],[prospet]]=0,0,Tableau3[[#This Row],[Ventes]]/Tableau3[[#This Row],[prospet]])</f>
        <v>0</v>
      </c>
    </row>
    <row r="427" spans="1:11" hidden="1" x14ac:dyDescent="0.3">
      <c r="A427" s="1">
        <v>46182</v>
      </c>
      <c r="B427" t="s">
        <v>60</v>
      </c>
      <c r="C427" t="s">
        <v>85</v>
      </c>
      <c r="D427" t="s">
        <v>61</v>
      </c>
      <c r="F427">
        <v>2</v>
      </c>
      <c r="H427">
        <f>4000+12500</f>
        <v>16500</v>
      </c>
      <c r="I427">
        <f>1000+2500</f>
        <v>3500</v>
      </c>
      <c r="J427" s="8">
        <f>IF(Tableau3[[#This Row],[prospet]]=0,0,Tableau3[[#This Row],[Ventes]]/Tableau3[[#This Row],[prospet]])</f>
        <v>0</v>
      </c>
      <c r="K427">
        <v>4587211</v>
      </c>
    </row>
    <row r="428" spans="1:11" hidden="1" x14ac:dyDescent="0.3">
      <c r="A428" s="1">
        <v>46182</v>
      </c>
      <c r="B428" t="s">
        <v>62</v>
      </c>
      <c r="C428" t="s">
        <v>90</v>
      </c>
      <c r="D428" t="s">
        <v>62</v>
      </c>
      <c r="F428">
        <v>1</v>
      </c>
      <c r="H428">
        <v>4000</v>
      </c>
      <c r="I428">
        <v>1000</v>
      </c>
      <c r="J428" s="8">
        <f>IF(Tableau3[[#This Row],[prospet]]=0,0,Tableau3[[#This Row],[Ventes]]/Tableau3[[#This Row],[prospet]])</f>
        <v>0</v>
      </c>
      <c r="K428">
        <v>4221767</v>
      </c>
    </row>
    <row r="429" spans="1:11" hidden="1" x14ac:dyDescent="0.3">
      <c r="A429" s="1">
        <v>46182</v>
      </c>
      <c r="B429" t="s">
        <v>63</v>
      </c>
      <c r="C429" t="s">
        <v>91</v>
      </c>
      <c r="D429" t="s">
        <v>154</v>
      </c>
      <c r="J429" s="8">
        <f>IF(Tableau3[[#This Row],[prospet]]=0,0,Tableau3[[#This Row],[Ventes]]/Tableau3[[#This Row],[prospet]])</f>
        <v>0</v>
      </c>
    </row>
    <row r="430" spans="1:11" hidden="1" x14ac:dyDescent="0.3">
      <c r="A430" s="1">
        <v>46182</v>
      </c>
      <c r="B430" t="s">
        <v>64</v>
      </c>
      <c r="C430" t="s">
        <v>29</v>
      </c>
      <c r="D430" t="s">
        <v>64</v>
      </c>
      <c r="J430" s="8">
        <f>IF(Tableau3[[#This Row],[prospet]]=0,0,Tableau3[[#This Row],[Ventes]]/Tableau3[[#This Row],[prospet]])</f>
        <v>0</v>
      </c>
      <c r="K430">
        <v>4080782</v>
      </c>
    </row>
    <row r="431" spans="1:11" hidden="1" x14ac:dyDescent="0.3">
      <c r="A431" s="1">
        <v>46182</v>
      </c>
      <c r="B431" t="s">
        <v>81</v>
      </c>
      <c r="C431" t="s">
        <v>92</v>
      </c>
      <c r="D431" t="s">
        <v>81</v>
      </c>
      <c r="J431" s="8">
        <f>IF(Tableau3[[#This Row],[prospet]]=0,0,Tableau3[[#This Row],[Ventes]]/Tableau3[[#This Row],[prospet]])</f>
        <v>0</v>
      </c>
      <c r="K431">
        <v>4559847</v>
      </c>
    </row>
    <row r="432" spans="1:11" hidden="1" x14ac:dyDescent="0.3">
      <c r="A432" s="1">
        <v>46182</v>
      </c>
      <c r="B432" t="s">
        <v>82</v>
      </c>
      <c r="C432" t="s">
        <v>11</v>
      </c>
      <c r="D432" t="s">
        <v>82</v>
      </c>
      <c r="J432" s="8">
        <f>IF(Tableau3[[#This Row],[prospet]]=0,0,Tableau3[[#This Row],[Ventes]]/Tableau3[[#This Row],[prospet]])</f>
        <v>0</v>
      </c>
      <c r="K432">
        <v>4541035</v>
      </c>
    </row>
    <row r="433" spans="1:11" hidden="1" x14ac:dyDescent="0.3">
      <c r="A433" s="1">
        <v>46182</v>
      </c>
      <c r="B433" t="s">
        <v>97</v>
      </c>
      <c r="C433" t="s">
        <v>93</v>
      </c>
      <c r="D433" t="s">
        <v>97</v>
      </c>
      <c r="F433">
        <v>2</v>
      </c>
      <c r="H433">
        <f>15000+12500</f>
        <v>27500</v>
      </c>
      <c r="I433">
        <v>5000</v>
      </c>
      <c r="J433" s="8">
        <f>IF(Tableau3[[#This Row],[prospet]]=0,0,Tableau3[[#This Row],[Ventes]]/Tableau3[[#This Row],[prospet]])</f>
        <v>0</v>
      </c>
      <c r="K433">
        <v>4636761</v>
      </c>
    </row>
    <row r="434" spans="1:11" hidden="1" x14ac:dyDescent="0.3">
      <c r="A434" s="1">
        <v>46182</v>
      </c>
      <c r="B434" t="s">
        <v>80</v>
      </c>
      <c r="C434" t="s">
        <v>94</v>
      </c>
      <c r="D434" t="s">
        <v>155</v>
      </c>
      <c r="F434">
        <v>1</v>
      </c>
      <c r="H434">
        <v>12500</v>
      </c>
      <c r="I434">
        <v>2500</v>
      </c>
      <c r="J434" s="8">
        <f>IF(Tableau3[[#This Row],[prospet]]=0,0,Tableau3[[#This Row],[Ventes]]/Tableau3[[#This Row],[prospet]])</f>
        <v>0</v>
      </c>
      <c r="K434">
        <v>4636772</v>
      </c>
    </row>
    <row r="435" spans="1:11" hidden="1" x14ac:dyDescent="0.3">
      <c r="A435" s="1">
        <v>46182</v>
      </c>
      <c r="B435" t="s">
        <v>83</v>
      </c>
      <c r="C435" t="s">
        <v>95</v>
      </c>
      <c r="D435" t="s">
        <v>83</v>
      </c>
      <c r="F435">
        <v>1</v>
      </c>
      <c r="H435">
        <v>12500</v>
      </c>
      <c r="I435">
        <v>2500</v>
      </c>
      <c r="J435" s="8">
        <f>IF(Tableau3[[#This Row],[prospet]]=0,0,Tableau3[[#This Row],[Ventes]]/Tableau3[[#This Row],[prospet]])</f>
        <v>0</v>
      </c>
    </row>
    <row r="436" spans="1:11" hidden="1" x14ac:dyDescent="0.3">
      <c r="A436" s="1">
        <v>46182</v>
      </c>
      <c r="B436" t="s">
        <v>84</v>
      </c>
      <c r="C436" t="s">
        <v>96</v>
      </c>
      <c r="D436" t="s">
        <v>84</v>
      </c>
      <c r="E436">
        <v>1</v>
      </c>
      <c r="J436" s="8">
        <f>IF(Tableau3[[#This Row],[prospet]]=0,0,Tableau3[[#This Row],[Ventes]]/Tableau3[[#This Row],[prospet]])</f>
        <v>0</v>
      </c>
      <c r="K436">
        <v>4587817</v>
      </c>
    </row>
    <row r="437" spans="1:11" hidden="1" x14ac:dyDescent="0.3">
      <c r="A437" s="1">
        <v>46182</v>
      </c>
      <c r="B437" t="s">
        <v>98</v>
      </c>
      <c r="C437" t="s">
        <v>99</v>
      </c>
      <c r="D437" t="s">
        <v>98</v>
      </c>
      <c r="E437">
        <v>1</v>
      </c>
      <c r="J437" s="8">
        <f>IF(Tableau3[[#This Row],[prospet]]=0,0,Tableau3[[#This Row],[Ventes]]/Tableau3[[#This Row],[prospet]])</f>
        <v>0</v>
      </c>
      <c r="K437">
        <v>3330821</v>
      </c>
    </row>
    <row r="438" spans="1:11" hidden="1" x14ac:dyDescent="0.3">
      <c r="A438" s="1">
        <v>46182</v>
      </c>
      <c r="B438" t="s">
        <v>109</v>
      </c>
      <c r="C438" t="s">
        <v>110</v>
      </c>
      <c r="D438" t="s">
        <v>109</v>
      </c>
      <c r="J438" s="8">
        <f>IF(Tableau3[[#This Row],[prospet]]=0,0,Tableau3[[#This Row],[Ventes]]/Tableau3[[#This Row],[prospet]])</f>
        <v>0</v>
      </c>
    </row>
    <row r="439" spans="1:11" hidden="1" x14ac:dyDescent="0.3">
      <c r="A439" s="1">
        <v>46182</v>
      </c>
      <c r="B439" t="s">
        <v>111</v>
      </c>
      <c r="C439" t="s">
        <v>138</v>
      </c>
      <c r="D439" t="s">
        <v>115</v>
      </c>
      <c r="F439">
        <v>2</v>
      </c>
      <c r="H439">
        <f>12500+17500</f>
        <v>30000</v>
      </c>
      <c r="I439">
        <v>5000</v>
      </c>
      <c r="J439" s="8">
        <f>IF(Tableau3[[#This Row],[prospet]]=0,0,Tableau3[[#This Row],[Ventes]]/Tableau3[[#This Row],[prospet]])</f>
        <v>0</v>
      </c>
    </row>
    <row r="440" spans="1:11" hidden="1" x14ac:dyDescent="0.3">
      <c r="A440" s="1">
        <v>46182</v>
      </c>
      <c r="B440" t="s">
        <v>112</v>
      </c>
      <c r="C440" t="s">
        <v>138</v>
      </c>
      <c r="D440" t="s">
        <v>113</v>
      </c>
      <c r="E440">
        <v>1</v>
      </c>
      <c r="F440">
        <v>1</v>
      </c>
      <c r="H440">
        <v>12500</v>
      </c>
      <c r="I440">
        <v>2500</v>
      </c>
      <c r="J440" s="8">
        <f>IF(Tableau3[[#This Row],[prospet]]=0,0,Tableau3[[#This Row],[Ventes]]/Tableau3[[#This Row],[prospet]])</f>
        <v>1</v>
      </c>
    </row>
    <row r="441" spans="1:11" hidden="1" x14ac:dyDescent="0.3">
      <c r="A441" s="1">
        <v>46183</v>
      </c>
      <c r="B441" t="s">
        <v>16</v>
      </c>
      <c r="C441" t="s">
        <v>85</v>
      </c>
      <c r="D441" t="s">
        <v>18</v>
      </c>
      <c r="G441" s="2">
        <v>0.02</v>
      </c>
      <c r="J441" s="8">
        <f>IF(Tableau3[[#This Row],[prospet]]=0,0,Tableau3[[#This Row],[Ventes]]/Tableau3[[#This Row],[prospet]])</f>
        <v>0</v>
      </c>
      <c r="K441">
        <v>4316190</v>
      </c>
    </row>
    <row r="442" spans="1:11" hidden="1" x14ac:dyDescent="0.3">
      <c r="A442" s="1">
        <v>46183</v>
      </c>
      <c r="B442" t="s">
        <v>9</v>
      </c>
      <c r="C442" t="s">
        <v>86</v>
      </c>
      <c r="D442" t="s">
        <v>13</v>
      </c>
      <c r="F442">
        <v>1</v>
      </c>
      <c r="H442">
        <v>15000</v>
      </c>
      <c r="I442">
        <v>2500</v>
      </c>
      <c r="J442" s="8">
        <f>IF(Tableau3[[#This Row],[prospet]]=0,0,Tableau3[[#This Row],[Ventes]]/Tableau3[[#This Row],[prospet]])</f>
        <v>0</v>
      </c>
      <c r="K442">
        <v>4554529</v>
      </c>
    </row>
    <row r="443" spans="1:11" hidden="1" x14ac:dyDescent="0.3">
      <c r="A443" s="1">
        <v>46183</v>
      </c>
      <c r="B443" t="s">
        <v>43</v>
      </c>
      <c r="C443" t="s">
        <v>11</v>
      </c>
      <c r="D443" t="s">
        <v>43</v>
      </c>
      <c r="G443" s="2">
        <v>0.02</v>
      </c>
      <c r="J443" s="8">
        <f>IF(Tableau3[[#This Row],[prospet]]=0,0,Tableau3[[#This Row],[Ventes]]/Tableau3[[#This Row],[prospet]])</f>
        <v>0</v>
      </c>
      <c r="K443">
        <v>4348553</v>
      </c>
    </row>
    <row r="444" spans="1:11" hidden="1" x14ac:dyDescent="0.3">
      <c r="A444" s="1">
        <v>46183</v>
      </c>
      <c r="B444" t="s">
        <v>30</v>
      </c>
      <c r="C444" t="s">
        <v>88</v>
      </c>
      <c r="D444" t="s">
        <v>30</v>
      </c>
      <c r="J444" s="8">
        <f>IF(Tableau3[[#This Row],[prospet]]=0,0,Tableau3[[#This Row],[Ventes]]/Tableau3[[#This Row],[prospet]])</f>
        <v>0</v>
      </c>
      <c r="K444">
        <v>4586158</v>
      </c>
    </row>
    <row r="445" spans="1:11" hidden="1" x14ac:dyDescent="0.3">
      <c r="A445" s="1">
        <v>46183</v>
      </c>
      <c r="B445" t="s">
        <v>3</v>
      </c>
      <c r="C445" t="s">
        <v>89</v>
      </c>
      <c r="D445" t="s">
        <v>3</v>
      </c>
      <c r="F445">
        <v>1</v>
      </c>
      <c r="G445" s="2">
        <v>0.05</v>
      </c>
      <c r="H445">
        <v>4000</v>
      </c>
      <c r="I445">
        <v>1000</v>
      </c>
      <c r="J445" s="8">
        <f>IF(Tableau3[[#This Row],[prospet]]=0,0,Tableau3[[#This Row],[Ventes]]/Tableau3[[#This Row],[prospet]])</f>
        <v>0</v>
      </c>
      <c r="K445">
        <v>4561858</v>
      </c>
    </row>
    <row r="446" spans="1:11" hidden="1" x14ac:dyDescent="0.3">
      <c r="A446" s="1">
        <v>46183</v>
      </c>
      <c r="B446" t="s">
        <v>60</v>
      </c>
      <c r="C446" t="s">
        <v>85</v>
      </c>
      <c r="D446" t="s">
        <v>61</v>
      </c>
      <c r="J446" s="8">
        <f>IF(Tableau3[[#This Row],[prospet]]=0,0,Tableau3[[#This Row],[Ventes]]/Tableau3[[#This Row],[prospet]])</f>
        <v>0</v>
      </c>
      <c r="K446">
        <v>4587211</v>
      </c>
    </row>
    <row r="447" spans="1:11" hidden="1" x14ac:dyDescent="0.3">
      <c r="A447" s="1">
        <v>46183</v>
      </c>
      <c r="B447" t="s">
        <v>62</v>
      </c>
      <c r="C447" t="s">
        <v>90</v>
      </c>
      <c r="D447" t="s">
        <v>62</v>
      </c>
      <c r="J447" s="8">
        <f>IF(Tableau3[[#This Row],[prospet]]=0,0,Tableau3[[#This Row],[Ventes]]/Tableau3[[#This Row],[prospet]])</f>
        <v>0</v>
      </c>
      <c r="K447">
        <v>4221767</v>
      </c>
    </row>
    <row r="448" spans="1:11" hidden="1" x14ac:dyDescent="0.3">
      <c r="A448" s="1">
        <v>46183</v>
      </c>
      <c r="B448" t="s">
        <v>63</v>
      </c>
      <c r="C448" t="s">
        <v>91</v>
      </c>
      <c r="D448" t="s">
        <v>154</v>
      </c>
      <c r="J448" s="8">
        <f>IF(Tableau3[[#This Row],[prospet]]=0,0,Tableau3[[#This Row],[Ventes]]/Tableau3[[#This Row],[prospet]])</f>
        <v>0</v>
      </c>
      <c r="K448">
        <v>4463888</v>
      </c>
    </row>
    <row r="449" spans="1:11" hidden="1" x14ac:dyDescent="0.3">
      <c r="A449" s="1">
        <v>46183</v>
      </c>
      <c r="B449" t="s">
        <v>64</v>
      </c>
      <c r="C449" t="s">
        <v>29</v>
      </c>
      <c r="D449" t="s">
        <v>64</v>
      </c>
      <c r="E449">
        <v>1</v>
      </c>
      <c r="G449" s="2">
        <v>0.18</v>
      </c>
      <c r="J449" s="8">
        <f>IF(Tableau3[[#This Row],[prospet]]=0,0,Tableau3[[#This Row],[Ventes]]/Tableau3[[#This Row],[prospet]])</f>
        <v>0</v>
      </c>
      <c r="K449">
        <v>4080782</v>
      </c>
    </row>
    <row r="450" spans="1:11" hidden="1" x14ac:dyDescent="0.3">
      <c r="A450" s="1">
        <v>46183</v>
      </c>
      <c r="B450" t="s">
        <v>81</v>
      </c>
      <c r="C450" t="s">
        <v>92</v>
      </c>
      <c r="D450" t="s">
        <v>81</v>
      </c>
      <c r="J450" s="8">
        <f>IF(Tableau3[[#This Row],[prospet]]=0,0,Tableau3[[#This Row],[Ventes]]/Tableau3[[#This Row],[prospet]])</f>
        <v>0</v>
      </c>
      <c r="K450">
        <v>4559847</v>
      </c>
    </row>
    <row r="451" spans="1:11" hidden="1" x14ac:dyDescent="0.3">
      <c r="A451" s="1">
        <v>46183</v>
      </c>
      <c r="B451" t="s">
        <v>82</v>
      </c>
      <c r="C451" t="s">
        <v>11</v>
      </c>
      <c r="D451" t="s">
        <v>82</v>
      </c>
      <c r="J451" s="8">
        <f>IF(Tableau3[[#This Row],[prospet]]=0,0,Tableau3[[#This Row],[Ventes]]/Tableau3[[#This Row],[prospet]])</f>
        <v>0</v>
      </c>
      <c r="K451">
        <v>4541035</v>
      </c>
    </row>
    <row r="452" spans="1:11" hidden="1" x14ac:dyDescent="0.3">
      <c r="A452" s="1">
        <v>46183</v>
      </c>
      <c r="B452" t="s">
        <v>97</v>
      </c>
      <c r="C452" t="s">
        <v>93</v>
      </c>
      <c r="D452" t="s">
        <v>97</v>
      </c>
      <c r="J452" s="8">
        <f>IF(Tableau3[[#This Row],[prospet]]=0,0,Tableau3[[#This Row],[Ventes]]/Tableau3[[#This Row],[prospet]])</f>
        <v>0</v>
      </c>
      <c r="K452">
        <v>4636761</v>
      </c>
    </row>
    <row r="453" spans="1:11" hidden="1" x14ac:dyDescent="0.3">
      <c r="A453" s="1">
        <v>46183</v>
      </c>
      <c r="B453" t="s">
        <v>80</v>
      </c>
      <c r="C453" t="s">
        <v>94</v>
      </c>
      <c r="D453" t="s">
        <v>155</v>
      </c>
      <c r="F453">
        <v>1</v>
      </c>
      <c r="H453">
        <v>12500</v>
      </c>
      <c r="I453">
        <v>2500</v>
      </c>
      <c r="J453" s="8">
        <f>IF(Tableau3[[#This Row],[prospet]]=0,0,Tableau3[[#This Row],[Ventes]]/Tableau3[[#This Row],[prospet]])</f>
        <v>0</v>
      </c>
      <c r="K453">
        <v>4636772</v>
      </c>
    </row>
    <row r="454" spans="1:11" hidden="1" x14ac:dyDescent="0.3">
      <c r="A454" s="1">
        <v>46183</v>
      </c>
      <c r="B454" t="s">
        <v>83</v>
      </c>
      <c r="C454" t="s">
        <v>95</v>
      </c>
      <c r="D454" t="s">
        <v>83</v>
      </c>
      <c r="J454" s="8">
        <f>IF(Tableau3[[#This Row],[prospet]]=0,0,Tableau3[[#This Row],[Ventes]]/Tableau3[[#This Row],[prospet]])</f>
        <v>0</v>
      </c>
      <c r="K454">
        <v>3947053</v>
      </c>
    </row>
    <row r="455" spans="1:11" hidden="1" x14ac:dyDescent="0.3">
      <c r="A455" s="1">
        <v>46183</v>
      </c>
      <c r="B455" t="s">
        <v>84</v>
      </c>
      <c r="C455" t="s">
        <v>96</v>
      </c>
      <c r="D455" t="s">
        <v>84</v>
      </c>
      <c r="G455" s="2">
        <v>0.06</v>
      </c>
      <c r="J455" s="8">
        <f>IF(Tableau3[[#This Row],[prospet]]=0,0,Tableau3[[#This Row],[Ventes]]/Tableau3[[#This Row],[prospet]])</f>
        <v>0</v>
      </c>
      <c r="K455">
        <v>4587817</v>
      </c>
    </row>
    <row r="456" spans="1:11" hidden="1" x14ac:dyDescent="0.3">
      <c r="A456" s="1">
        <v>46183</v>
      </c>
      <c r="B456" t="s">
        <v>98</v>
      </c>
      <c r="C456" t="s">
        <v>99</v>
      </c>
      <c r="D456" t="s">
        <v>98</v>
      </c>
      <c r="E456">
        <v>3</v>
      </c>
      <c r="F456">
        <v>2</v>
      </c>
      <c r="G456" s="2">
        <v>0.19</v>
      </c>
      <c r="H456">
        <v>25000</v>
      </c>
      <c r="I456">
        <v>5000</v>
      </c>
      <c r="J456" s="8">
        <f>IF(Tableau3[[#This Row],[prospet]]=0,0,Tableau3[[#This Row],[Ventes]]/Tableau3[[#This Row],[prospet]])</f>
        <v>0.66666666666666663</v>
      </c>
      <c r="K456">
        <v>3330821</v>
      </c>
    </row>
    <row r="457" spans="1:11" hidden="1" x14ac:dyDescent="0.3">
      <c r="A457" s="1">
        <v>46183</v>
      </c>
      <c r="B457" t="s">
        <v>109</v>
      </c>
      <c r="C457" t="s">
        <v>110</v>
      </c>
      <c r="D457" t="s">
        <v>109</v>
      </c>
      <c r="J457" s="8">
        <f>IF(Tableau3[[#This Row],[prospet]]=0,0,Tableau3[[#This Row],[Ventes]]/Tableau3[[#This Row],[prospet]])</f>
        <v>0</v>
      </c>
      <c r="K457">
        <v>4090831</v>
      </c>
    </row>
    <row r="458" spans="1:11" hidden="1" x14ac:dyDescent="0.3">
      <c r="A458" s="1">
        <v>46183</v>
      </c>
      <c r="B458" t="s">
        <v>111</v>
      </c>
      <c r="C458" t="s">
        <v>138</v>
      </c>
      <c r="D458" t="s">
        <v>115</v>
      </c>
      <c r="J458" s="8">
        <f>IF(Tableau3[[#This Row],[prospet]]=0,0,Tableau3[[#This Row],[Ventes]]/Tableau3[[#This Row],[prospet]])</f>
        <v>0</v>
      </c>
      <c r="K458">
        <v>4209873</v>
      </c>
    </row>
    <row r="459" spans="1:11" hidden="1" x14ac:dyDescent="0.3">
      <c r="A459" s="1">
        <v>46183</v>
      </c>
      <c r="B459" t="s">
        <v>112</v>
      </c>
      <c r="C459" t="s">
        <v>138</v>
      </c>
      <c r="D459" t="s">
        <v>113</v>
      </c>
      <c r="E459">
        <v>2</v>
      </c>
      <c r="J459" s="8">
        <f>IF(Tableau3[[#This Row],[prospet]]=0,0,Tableau3[[#This Row],[Ventes]]/Tableau3[[#This Row],[prospet]])</f>
        <v>0</v>
      </c>
      <c r="K459">
        <v>4937885</v>
      </c>
    </row>
    <row r="460" spans="1:11" hidden="1" x14ac:dyDescent="0.3">
      <c r="A460" s="1">
        <v>46184</v>
      </c>
      <c r="B460" t="s">
        <v>16</v>
      </c>
      <c r="C460" t="s">
        <v>85</v>
      </c>
      <c r="D460" t="s">
        <v>18</v>
      </c>
      <c r="E460">
        <v>16</v>
      </c>
      <c r="G460" s="2">
        <v>2.6</v>
      </c>
      <c r="J460" s="8">
        <f>IF(Tableau3[[#This Row],[prospet]]=0,0,Tableau3[[#This Row],[Ventes]]/Tableau3[[#This Row],[prospet]])</f>
        <v>0</v>
      </c>
      <c r="K460">
        <v>4316190</v>
      </c>
    </row>
    <row r="461" spans="1:11" hidden="1" x14ac:dyDescent="0.3">
      <c r="A461" s="1">
        <v>46184</v>
      </c>
      <c r="B461" t="s">
        <v>9</v>
      </c>
      <c r="C461" t="s">
        <v>86</v>
      </c>
      <c r="D461" t="s">
        <v>13</v>
      </c>
      <c r="E461">
        <v>37</v>
      </c>
      <c r="F461">
        <v>2</v>
      </c>
      <c r="G461" s="2">
        <v>2.69</v>
      </c>
      <c r="H461">
        <v>25000</v>
      </c>
      <c r="I461">
        <v>5000</v>
      </c>
      <c r="J461" s="8">
        <f>IF(Tableau3[[#This Row],[prospet]]=0,0,Tableau3[[#This Row],[Ventes]]/Tableau3[[#This Row],[prospet]])</f>
        <v>5.4054054054054057E-2</v>
      </c>
      <c r="K461">
        <v>4554529</v>
      </c>
    </row>
    <row r="462" spans="1:11" hidden="1" x14ac:dyDescent="0.3">
      <c r="A462" s="1">
        <v>46184</v>
      </c>
      <c r="B462" t="s">
        <v>43</v>
      </c>
      <c r="C462" t="s">
        <v>11</v>
      </c>
      <c r="D462" t="s">
        <v>43</v>
      </c>
      <c r="E462">
        <v>12</v>
      </c>
      <c r="F462">
        <v>1</v>
      </c>
      <c r="G462" s="2">
        <v>2.92</v>
      </c>
      <c r="H462">
        <v>10000</v>
      </c>
      <c r="I462">
        <v>2500</v>
      </c>
      <c r="J462" s="8">
        <f>IF(Tableau3[[#This Row],[prospet]]=0,0,Tableau3[[#This Row],[Ventes]]/Tableau3[[#This Row],[prospet]])</f>
        <v>8.3333333333333329E-2</v>
      </c>
      <c r="K462">
        <v>4348553</v>
      </c>
    </row>
    <row r="463" spans="1:11" hidden="1" x14ac:dyDescent="0.3">
      <c r="A463" s="1">
        <v>46184</v>
      </c>
      <c r="B463" t="s">
        <v>30</v>
      </c>
      <c r="C463" t="s">
        <v>88</v>
      </c>
      <c r="D463" t="s">
        <v>30</v>
      </c>
      <c r="E463">
        <v>19</v>
      </c>
      <c r="G463" s="2">
        <v>2.88</v>
      </c>
      <c r="J463" s="8">
        <f>IF(Tableau3[[#This Row],[prospet]]=0,0,Tableau3[[#This Row],[Ventes]]/Tableau3[[#This Row],[prospet]])</f>
        <v>0</v>
      </c>
      <c r="K463">
        <v>4586158</v>
      </c>
    </row>
    <row r="464" spans="1:11" hidden="1" x14ac:dyDescent="0.3">
      <c r="A464" s="1">
        <v>46184</v>
      </c>
      <c r="B464" t="s">
        <v>3</v>
      </c>
      <c r="C464" t="s">
        <v>89</v>
      </c>
      <c r="D464" t="s">
        <v>3</v>
      </c>
      <c r="E464">
        <v>15</v>
      </c>
      <c r="G464" s="2">
        <v>2.91</v>
      </c>
      <c r="J464" s="8">
        <f>IF(Tableau3[[#This Row],[prospet]]=0,0,Tableau3[[#This Row],[Ventes]]/Tableau3[[#This Row],[prospet]])</f>
        <v>0</v>
      </c>
      <c r="K464">
        <v>4561858</v>
      </c>
    </row>
    <row r="465" spans="1:11" hidden="1" x14ac:dyDescent="0.3">
      <c r="A465" s="1">
        <v>46184</v>
      </c>
      <c r="B465" t="s">
        <v>60</v>
      </c>
      <c r="C465" t="s">
        <v>85</v>
      </c>
      <c r="D465" t="s">
        <v>61</v>
      </c>
      <c r="E465">
        <v>15</v>
      </c>
      <c r="F465">
        <v>3</v>
      </c>
      <c r="G465" s="2">
        <v>3.11</v>
      </c>
      <c r="H465">
        <v>12000</v>
      </c>
      <c r="I465">
        <v>3000</v>
      </c>
      <c r="J465" s="8">
        <f>IF(Tableau3[[#This Row],[prospet]]=0,0,Tableau3[[#This Row],[Ventes]]/Tableau3[[#This Row],[prospet]])</f>
        <v>0.2</v>
      </c>
      <c r="K465">
        <v>4587211</v>
      </c>
    </row>
    <row r="466" spans="1:11" hidden="1" x14ac:dyDescent="0.3">
      <c r="A466" s="1">
        <v>46184</v>
      </c>
      <c r="B466" t="s">
        <v>62</v>
      </c>
      <c r="C466" t="s">
        <v>90</v>
      </c>
      <c r="D466" t="s">
        <v>62</v>
      </c>
      <c r="E466">
        <v>32</v>
      </c>
      <c r="G466" s="2">
        <v>2.84</v>
      </c>
      <c r="J466" s="8">
        <f>IF(Tableau3[[#This Row],[prospet]]=0,0,Tableau3[[#This Row],[Ventes]]/Tableau3[[#This Row],[prospet]])</f>
        <v>0</v>
      </c>
      <c r="K466">
        <v>4221767</v>
      </c>
    </row>
    <row r="467" spans="1:11" hidden="1" x14ac:dyDescent="0.3">
      <c r="A467" s="1">
        <v>46184</v>
      </c>
      <c r="B467" t="s">
        <v>63</v>
      </c>
      <c r="C467" t="s">
        <v>91</v>
      </c>
      <c r="D467" t="s">
        <v>154</v>
      </c>
      <c r="E467">
        <v>11</v>
      </c>
      <c r="G467" s="2">
        <v>2.8</v>
      </c>
      <c r="J467" s="8">
        <f>IF(Tableau3[[#This Row],[prospet]]=0,0,Tableau3[[#This Row],[Ventes]]/Tableau3[[#This Row],[prospet]])</f>
        <v>0</v>
      </c>
      <c r="K467">
        <v>4463888</v>
      </c>
    </row>
    <row r="468" spans="1:11" hidden="1" x14ac:dyDescent="0.3">
      <c r="A468" s="1">
        <v>46184</v>
      </c>
      <c r="B468" t="s">
        <v>64</v>
      </c>
      <c r="C468" t="s">
        <v>29</v>
      </c>
      <c r="D468" t="s">
        <v>64</v>
      </c>
      <c r="E468">
        <v>18</v>
      </c>
      <c r="G468" s="2">
        <v>3.36</v>
      </c>
      <c r="J468" s="8">
        <f>IF(Tableau3[[#This Row],[prospet]]=0,0,Tableau3[[#This Row],[Ventes]]/Tableau3[[#This Row],[prospet]])</f>
        <v>0</v>
      </c>
      <c r="K468">
        <v>4080782</v>
      </c>
    </row>
    <row r="469" spans="1:11" hidden="1" x14ac:dyDescent="0.3">
      <c r="A469" s="1">
        <v>46184</v>
      </c>
      <c r="B469" t="s">
        <v>81</v>
      </c>
      <c r="C469" t="s">
        <v>92</v>
      </c>
      <c r="D469" t="s">
        <v>81</v>
      </c>
      <c r="E469">
        <v>24</v>
      </c>
      <c r="F469">
        <v>5</v>
      </c>
      <c r="G469" s="2">
        <v>2.61</v>
      </c>
      <c r="H469">
        <f>10000+12500+12000</f>
        <v>34500</v>
      </c>
      <c r="I469">
        <f>2500+2500+3000</f>
        <v>8000</v>
      </c>
      <c r="J469" s="8">
        <f>IF(Tableau3[[#This Row],[prospet]]=0,0,Tableau3[[#This Row],[Ventes]]/Tableau3[[#This Row],[prospet]])</f>
        <v>0.20833333333333334</v>
      </c>
      <c r="K469">
        <v>4559847</v>
      </c>
    </row>
    <row r="470" spans="1:11" hidden="1" x14ac:dyDescent="0.3">
      <c r="A470" s="1">
        <v>46184</v>
      </c>
      <c r="B470" t="s">
        <v>82</v>
      </c>
      <c r="C470" t="s">
        <v>11</v>
      </c>
      <c r="D470" t="s">
        <v>82</v>
      </c>
      <c r="E470">
        <v>14</v>
      </c>
      <c r="G470" s="2">
        <v>2.57</v>
      </c>
      <c r="J470" s="8">
        <f>IF(Tableau3[[#This Row],[prospet]]=0,0,Tableau3[[#This Row],[Ventes]]/Tableau3[[#This Row],[prospet]])</f>
        <v>0</v>
      </c>
      <c r="K470">
        <v>4541035</v>
      </c>
    </row>
    <row r="471" spans="1:11" hidden="1" x14ac:dyDescent="0.3">
      <c r="A471" s="1">
        <v>46184</v>
      </c>
      <c r="B471" t="s">
        <v>97</v>
      </c>
      <c r="C471" t="s">
        <v>93</v>
      </c>
      <c r="D471" t="s">
        <v>97</v>
      </c>
      <c r="E471">
        <v>16</v>
      </c>
      <c r="G471" s="2">
        <v>2.5299999999999998</v>
      </c>
      <c r="J471" s="8">
        <f>IF(Tableau3[[#This Row],[prospet]]=0,0,Tableau3[[#This Row],[Ventes]]/Tableau3[[#This Row],[prospet]])</f>
        <v>0</v>
      </c>
      <c r="K471">
        <v>4636761</v>
      </c>
    </row>
    <row r="472" spans="1:11" hidden="1" x14ac:dyDescent="0.3">
      <c r="A472" s="1">
        <v>46184</v>
      </c>
      <c r="B472" t="s">
        <v>80</v>
      </c>
      <c r="C472" t="s">
        <v>94</v>
      </c>
      <c r="D472" t="s">
        <v>155</v>
      </c>
      <c r="E472">
        <v>20</v>
      </c>
      <c r="F472">
        <v>2</v>
      </c>
      <c r="G472" s="2">
        <v>2.83</v>
      </c>
      <c r="H472">
        <f>12500+4000</f>
        <v>16500</v>
      </c>
      <c r="I472">
        <f>2500+1000</f>
        <v>3500</v>
      </c>
      <c r="J472" s="8">
        <f>IF(Tableau3[[#This Row],[prospet]]=0,0,Tableau3[[#This Row],[Ventes]]/Tableau3[[#This Row],[prospet]])</f>
        <v>0.1</v>
      </c>
      <c r="K472">
        <v>4636772</v>
      </c>
    </row>
    <row r="473" spans="1:11" hidden="1" x14ac:dyDescent="0.3">
      <c r="A473" s="1">
        <v>46184</v>
      </c>
      <c r="B473" t="s">
        <v>83</v>
      </c>
      <c r="C473" t="s">
        <v>95</v>
      </c>
      <c r="D473" t="s">
        <v>83</v>
      </c>
      <c r="E473">
        <v>72</v>
      </c>
      <c r="G473" s="2">
        <v>2.77</v>
      </c>
      <c r="J473" s="8">
        <f>IF(Tableau3[[#This Row],[prospet]]=0,0,Tableau3[[#This Row],[Ventes]]/Tableau3[[#This Row],[prospet]])</f>
        <v>0</v>
      </c>
      <c r="K473">
        <v>3947053</v>
      </c>
    </row>
    <row r="474" spans="1:11" hidden="1" x14ac:dyDescent="0.3">
      <c r="A474" s="1">
        <v>46184</v>
      </c>
      <c r="B474" t="s">
        <v>84</v>
      </c>
      <c r="C474" t="s">
        <v>96</v>
      </c>
      <c r="D474" t="s">
        <v>84</v>
      </c>
      <c r="E474">
        <v>16</v>
      </c>
      <c r="G474" s="2">
        <v>2.6</v>
      </c>
      <c r="J474" s="8">
        <f>IF(Tableau3[[#This Row],[prospet]]=0,0,Tableau3[[#This Row],[Ventes]]/Tableau3[[#This Row],[prospet]])</f>
        <v>0</v>
      </c>
      <c r="K474">
        <v>4587817</v>
      </c>
    </row>
    <row r="475" spans="1:11" hidden="1" x14ac:dyDescent="0.3">
      <c r="A475" s="1">
        <v>46184</v>
      </c>
      <c r="B475" t="s">
        <v>98</v>
      </c>
      <c r="C475" t="s">
        <v>99</v>
      </c>
      <c r="D475" t="s">
        <v>98</v>
      </c>
      <c r="E475">
        <v>21</v>
      </c>
      <c r="F475">
        <v>1</v>
      </c>
      <c r="G475" s="2">
        <v>2.57</v>
      </c>
      <c r="H475">
        <v>17500</v>
      </c>
      <c r="I475">
        <v>2500</v>
      </c>
      <c r="J475" s="8">
        <f>IF(Tableau3[[#This Row],[prospet]]=0,0,Tableau3[[#This Row],[Ventes]]/Tableau3[[#This Row],[prospet]])</f>
        <v>4.7619047619047616E-2</v>
      </c>
      <c r="K475">
        <v>3330821</v>
      </c>
    </row>
    <row r="476" spans="1:11" hidden="1" x14ac:dyDescent="0.3">
      <c r="A476" s="1">
        <v>46184</v>
      </c>
      <c r="B476" t="s">
        <v>109</v>
      </c>
      <c r="C476" t="s">
        <v>110</v>
      </c>
      <c r="D476" t="s">
        <v>109</v>
      </c>
      <c r="E476">
        <v>21</v>
      </c>
      <c r="G476" s="2">
        <v>2.2599999999999998</v>
      </c>
      <c r="J476" s="8">
        <f>IF(Tableau3[[#This Row],[prospet]]=0,0,Tableau3[[#This Row],[Ventes]]/Tableau3[[#This Row],[prospet]])</f>
        <v>0</v>
      </c>
      <c r="K476">
        <v>4090831</v>
      </c>
    </row>
    <row r="477" spans="1:11" hidden="1" x14ac:dyDescent="0.3">
      <c r="A477" s="1">
        <v>46184</v>
      </c>
      <c r="B477" t="s">
        <v>111</v>
      </c>
      <c r="C477" t="s">
        <v>138</v>
      </c>
      <c r="D477" t="s">
        <v>115</v>
      </c>
      <c r="E477">
        <v>11</v>
      </c>
      <c r="F477">
        <v>1</v>
      </c>
      <c r="G477" s="2">
        <v>2.77</v>
      </c>
      <c r="H477">
        <v>12500</v>
      </c>
      <c r="I477">
        <v>2500</v>
      </c>
      <c r="J477" s="8">
        <f>IF(Tableau3[[#This Row],[prospet]]=0,0,Tableau3[[#This Row],[Ventes]]/Tableau3[[#This Row],[prospet]])</f>
        <v>9.0909090909090912E-2</v>
      </c>
      <c r="K477">
        <v>4209873</v>
      </c>
    </row>
    <row r="478" spans="1:11" hidden="1" x14ac:dyDescent="0.3">
      <c r="A478" s="1">
        <v>46184</v>
      </c>
      <c r="B478" t="s">
        <v>112</v>
      </c>
      <c r="C478" t="s">
        <v>138</v>
      </c>
      <c r="D478" t="s">
        <v>113</v>
      </c>
      <c r="E478">
        <v>69</v>
      </c>
      <c r="F478">
        <v>1</v>
      </c>
      <c r="G478" s="2">
        <v>2.96</v>
      </c>
      <c r="H478">
        <v>12500</v>
      </c>
      <c r="I478">
        <v>2500</v>
      </c>
      <c r="J478" s="8">
        <f>IF(Tableau3[[#This Row],[prospet]]=0,0,Tableau3[[#This Row],[Ventes]]/Tableau3[[#This Row],[prospet]])</f>
        <v>1.4492753623188406E-2</v>
      </c>
      <c r="K478">
        <v>4937885</v>
      </c>
    </row>
    <row r="479" spans="1:11" hidden="1" x14ac:dyDescent="0.3">
      <c r="A479" s="1">
        <v>46185</v>
      </c>
      <c r="B479" t="s">
        <v>16</v>
      </c>
      <c r="C479" t="s">
        <v>85</v>
      </c>
      <c r="D479" t="s">
        <v>18</v>
      </c>
      <c r="E479">
        <v>11</v>
      </c>
      <c r="F479">
        <v>1</v>
      </c>
      <c r="G479" s="2">
        <v>1.86</v>
      </c>
      <c r="H479">
        <v>11000</v>
      </c>
      <c r="I479">
        <v>2500</v>
      </c>
      <c r="J479" s="8">
        <f>IF(Tableau3[[#This Row],[prospet]]=0,0,Tableau3[[#This Row],[Ventes]]/Tableau3[[#This Row],[prospet]])</f>
        <v>9.0909090909090912E-2</v>
      </c>
      <c r="K479">
        <v>4316190</v>
      </c>
    </row>
    <row r="480" spans="1:11" hidden="1" x14ac:dyDescent="0.3">
      <c r="A480" s="1">
        <v>46185</v>
      </c>
      <c r="B480" t="s">
        <v>9</v>
      </c>
      <c r="C480" t="s">
        <v>86</v>
      </c>
      <c r="D480" t="s">
        <v>13</v>
      </c>
      <c r="E480">
        <v>24</v>
      </c>
      <c r="F480">
        <v>3</v>
      </c>
      <c r="G480" s="2">
        <v>1.86</v>
      </c>
      <c r="H480">
        <f>25000+11000</f>
        <v>36000</v>
      </c>
      <c r="I480">
        <v>7500</v>
      </c>
      <c r="J480" s="8">
        <f>IF(Tableau3[[#This Row],[prospet]]=0,0,Tableau3[[#This Row],[Ventes]]/Tableau3[[#This Row],[prospet]])</f>
        <v>0.125</v>
      </c>
      <c r="K480">
        <v>4554529</v>
      </c>
    </row>
    <row r="481" spans="1:11" hidden="1" x14ac:dyDescent="0.3">
      <c r="A481" s="1">
        <v>46185</v>
      </c>
      <c r="B481" t="s">
        <v>43</v>
      </c>
      <c r="C481" t="s">
        <v>11</v>
      </c>
      <c r="D481" t="s">
        <v>43</v>
      </c>
      <c r="E481">
        <v>15</v>
      </c>
      <c r="F481">
        <v>2</v>
      </c>
      <c r="G481" s="2">
        <v>1.62</v>
      </c>
      <c r="H481">
        <f>8500+12500</f>
        <v>21000</v>
      </c>
      <c r="I481">
        <v>5000</v>
      </c>
      <c r="J481" s="8">
        <f>IF(Tableau3[[#This Row],[prospet]]=0,0,Tableau3[[#This Row],[Ventes]]/Tableau3[[#This Row],[prospet]])</f>
        <v>0.13333333333333333</v>
      </c>
      <c r="K481">
        <v>4348553</v>
      </c>
    </row>
    <row r="482" spans="1:11" hidden="1" x14ac:dyDescent="0.3">
      <c r="A482" s="1">
        <v>46185</v>
      </c>
      <c r="B482" t="s">
        <v>30</v>
      </c>
      <c r="C482" t="s">
        <v>88</v>
      </c>
      <c r="D482" t="s">
        <v>30</v>
      </c>
      <c r="E482">
        <v>4</v>
      </c>
      <c r="G482" s="2">
        <v>1.41</v>
      </c>
      <c r="J482" s="8">
        <f>IF(Tableau3[[#This Row],[prospet]]=0,0,Tableau3[[#This Row],[Ventes]]/Tableau3[[#This Row],[prospet]])</f>
        <v>0</v>
      </c>
      <c r="K482">
        <v>4586158</v>
      </c>
    </row>
    <row r="483" spans="1:11" hidden="1" x14ac:dyDescent="0.3">
      <c r="A483" s="1">
        <v>46185</v>
      </c>
      <c r="B483" t="s">
        <v>3</v>
      </c>
      <c r="C483" t="s">
        <v>89</v>
      </c>
      <c r="D483" t="s">
        <v>3</v>
      </c>
      <c r="E483">
        <v>9</v>
      </c>
      <c r="F483">
        <v>2</v>
      </c>
      <c r="G483" s="2">
        <v>1.88</v>
      </c>
      <c r="H483">
        <f>15000+8500</f>
        <v>23500</v>
      </c>
      <c r="I483">
        <v>5000</v>
      </c>
      <c r="J483" s="8">
        <f>IF(Tableau3[[#This Row],[prospet]]=0,0,Tableau3[[#This Row],[Ventes]]/Tableau3[[#This Row],[prospet]])</f>
        <v>0.22222222222222221</v>
      </c>
      <c r="K483">
        <v>4561858</v>
      </c>
    </row>
    <row r="484" spans="1:11" hidden="1" x14ac:dyDescent="0.3">
      <c r="A484" s="1">
        <v>46185</v>
      </c>
      <c r="B484" t="s">
        <v>60</v>
      </c>
      <c r="C484" t="s">
        <v>85</v>
      </c>
      <c r="D484" t="s">
        <v>61</v>
      </c>
      <c r="E484">
        <v>8</v>
      </c>
      <c r="F484">
        <v>2</v>
      </c>
      <c r="G484" s="2">
        <v>2.04</v>
      </c>
      <c r="H484">
        <f>6000</f>
        <v>6000</v>
      </c>
      <c r="I484">
        <v>2000</v>
      </c>
      <c r="J484" s="8">
        <f>IF(Tableau3[[#This Row],[prospet]]=0,0,Tableau3[[#This Row],[Ventes]]/Tableau3[[#This Row],[prospet]])</f>
        <v>0.25</v>
      </c>
      <c r="K484">
        <v>4587211</v>
      </c>
    </row>
    <row r="485" spans="1:11" hidden="1" x14ac:dyDescent="0.3">
      <c r="A485" s="1">
        <v>46185</v>
      </c>
      <c r="B485" t="s">
        <v>62</v>
      </c>
      <c r="C485" t="s">
        <v>90</v>
      </c>
      <c r="D485" t="s">
        <v>62</v>
      </c>
      <c r="E485">
        <v>9</v>
      </c>
      <c r="F485">
        <v>2</v>
      </c>
      <c r="G485" s="2">
        <v>1.53</v>
      </c>
      <c r="H485">
        <v>8000</v>
      </c>
      <c r="I485">
        <v>2000</v>
      </c>
      <c r="J485" s="8">
        <f>IF(Tableau3[[#This Row],[prospet]]=0,0,Tableau3[[#This Row],[Ventes]]/Tableau3[[#This Row],[prospet]])</f>
        <v>0.22222222222222221</v>
      </c>
      <c r="K485">
        <v>4221767</v>
      </c>
    </row>
    <row r="486" spans="1:11" hidden="1" x14ac:dyDescent="0.3">
      <c r="A486" s="1">
        <v>46185</v>
      </c>
      <c r="B486" t="s">
        <v>63</v>
      </c>
      <c r="C486" t="s">
        <v>91</v>
      </c>
      <c r="D486" t="s">
        <v>154</v>
      </c>
      <c r="E486">
        <v>7</v>
      </c>
      <c r="G486" s="2">
        <v>1.46</v>
      </c>
      <c r="J486" s="8">
        <f>IF(Tableau3[[#This Row],[prospet]]=0,0,Tableau3[[#This Row],[Ventes]]/Tableau3[[#This Row],[prospet]])</f>
        <v>0</v>
      </c>
      <c r="K486">
        <v>4463888</v>
      </c>
    </row>
    <row r="487" spans="1:11" hidden="1" x14ac:dyDescent="0.3">
      <c r="A487" s="1">
        <v>46185</v>
      </c>
      <c r="B487" t="s">
        <v>64</v>
      </c>
      <c r="C487" t="s">
        <v>29</v>
      </c>
      <c r="D487" t="s">
        <v>64</v>
      </c>
      <c r="E487">
        <v>6</v>
      </c>
      <c r="F487">
        <v>2</v>
      </c>
      <c r="G487" s="2">
        <v>1.99</v>
      </c>
      <c r="H487">
        <f>4000+11000</f>
        <v>15000</v>
      </c>
      <c r="I487">
        <f>3500</f>
        <v>3500</v>
      </c>
      <c r="J487" s="8">
        <f>IF(Tableau3[[#This Row],[prospet]]=0,0,Tableau3[[#This Row],[Ventes]]/Tableau3[[#This Row],[prospet]])</f>
        <v>0.33333333333333331</v>
      </c>
      <c r="K487">
        <v>4080782</v>
      </c>
    </row>
    <row r="488" spans="1:11" hidden="1" x14ac:dyDescent="0.3">
      <c r="A488" s="1">
        <v>46185</v>
      </c>
      <c r="B488" t="s">
        <v>81</v>
      </c>
      <c r="C488" t="s">
        <v>92</v>
      </c>
      <c r="D488" t="s">
        <v>81</v>
      </c>
      <c r="E488">
        <v>12</v>
      </c>
      <c r="F488">
        <v>2</v>
      </c>
      <c r="G488" s="2">
        <v>2</v>
      </c>
      <c r="H488">
        <f>11000+17500</f>
        <v>28500</v>
      </c>
      <c r="I488">
        <v>5000</v>
      </c>
      <c r="J488" s="8">
        <f>IF(Tableau3[[#This Row],[prospet]]=0,0,Tableau3[[#This Row],[Ventes]]/Tableau3[[#This Row],[prospet]])</f>
        <v>0.16666666666666666</v>
      </c>
      <c r="K488">
        <v>4559847</v>
      </c>
    </row>
    <row r="489" spans="1:11" hidden="1" x14ac:dyDescent="0.3">
      <c r="A489" s="1">
        <v>46185</v>
      </c>
      <c r="B489" t="s">
        <v>82</v>
      </c>
      <c r="C489" t="s">
        <v>11</v>
      </c>
      <c r="D489" t="s">
        <v>82</v>
      </c>
      <c r="E489">
        <v>8</v>
      </c>
      <c r="G489" s="2">
        <v>1.62</v>
      </c>
      <c r="J489" s="8">
        <f>IF(Tableau3[[#This Row],[prospet]]=0,0,Tableau3[[#This Row],[Ventes]]/Tableau3[[#This Row],[prospet]])</f>
        <v>0</v>
      </c>
      <c r="K489">
        <v>4541035</v>
      </c>
    </row>
    <row r="490" spans="1:11" hidden="1" x14ac:dyDescent="0.3">
      <c r="A490" s="1">
        <v>46185</v>
      </c>
      <c r="B490" t="s">
        <v>97</v>
      </c>
      <c r="C490" t="s">
        <v>93</v>
      </c>
      <c r="D490" t="s">
        <v>97</v>
      </c>
      <c r="E490">
        <v>18</v>
      </c>
      <c r="G490" s="2">
        <v>1.87</v>
      </c>
      <c r="J490" s="8">
        <f>IF(Tableau3[[#This Row],[prospet]]=0,0,Tableau3[[#This Row],[Ventes]]/Tableau3[[#This Row],[prospet]])</f>
        <v>0</v>
      </c>
      <c r="K490">
        <v>4636761</v>
      </c>
    </row>
    <row r="491" spans="1:11" hidden="1" x14ac:dyDescent="0.3">
      <c r="A491" s="1">
        <v>46185</v>
      </c>
      <c r="B491" t="s">
        <v>80</v>
      </c>
      <c r="C491" t="s">
        <v>94</v>
      </c>
      <c r="D491" t="s">
        <v>155</v>
      </c>
      <c r="E491">
        <v>19</v>
      </c>
      <c r="F491">
        <v>2</v>
      </c>
      <c r="G491" s="2">
        <v>2.0699999999999998</v>
      </c>
      <c r="H491">
        <v>22000</v>
      </c>
      <c r="I491">
        <v>5000</v>
      </c>
      <c r="J491" s="8">
        <f>IF(Tableau3[[#This Row],[prospet]]=0,0,Tableau3[[#This Row],[Ventes]]/Tableau3[[#This Row],[prospet]])</f>
        <v>0.10526315789473684</v>
      </c>
      <c r="K491">
        <v>4636772</v>
      </c>
    </row>
    <row r="492" spans="1:11" hidden="1" x14ac:dyDescent="0.3">
      <c r="A492" s="1">
        <v>46185</v>
      </c>
      <c r="B492" t="s">
        <v>83</v>
      </c>
      <c r="C492" t="s">
        <v>95</v>
      </c>
      <c r="D492" t="s">
        <v>83</v>
      </c>
      <c r="E492">
        <v>38</v>
      </c>
      <c r="F492">
        <v>5</v>
      </c>
      <c r="G492" s="2">
        <v>1.81</v>
      </c>
      <c r="H492">
        <f>8000+12500+22000</f>
        <v>42500</v>
      </c>
      <c r="I492">
        <f>2000+2500+5000</f>
        <v>9500</v>
      </c>
      <c r="J492" s="8">
        <f>IF(Tableau3[[#This Row],[prospet]]=0,0,Tableau3[[#This Row],[Ventes]]/Tableau3[[#This Row],[prospet]])</f>
        <v>0.13157894736842105</v>
      </c>
      <c r="K492">
        <v>3947053</v>
      </c>
    </row>
    <row r="493" spans="1:11" hidden="1" x14ac:dyDescent="0.3">
      <c r="A493" s="1">
        <v>46185</v>
      </c>
      <c r="B493" t="s">
        <v>84</v>
      </c>
      <c r="C493" t="s">
        <v>96</v>
      </c>
      <c r="D493" t="s">
        <v>84</v>
      </c>
      <c r="E493">
        <v>16</v>
      </c>
      <c r="F493">
        <v>4</v>
      </c>
      <c r="G493" s="2">
        <v>2.2000000000000002</v>
      </c>
      <c r="H493">
        <f>25000+7500+4000</f>
        <v>36500</v>
      </c>
      <c r="I493">
        <f>5000+1500+1000</f>
        <v>7500</v>
      </c>
      <c r="J493" s="8">
        <f>IF(Tableau3[[#This Row],[prospet]]=0,0,Tableau3[[#This Row],[Ventes]]/Tableau3[[#This Row],[prospet]])</f>
        <v>0.25</v>
      </c>
      <c r="K493">
        <v>4587817</v>
      </c>
    </row>
    <row r="494" spans="1:11" hidden="1" x14ac:dyDescent="0.3">
      <c r="A494" s="1">
        <v>46185</v>
      </c>
      <c r="B494" t="s">
        <v>98</v>
      </c>
      <c r="C494" t="s">
        <v>99</v>
      </c>
      <c r="D494" t="s">
        <v>98</v>
      </c>
      <c r="E494">
        <v>2</v>
      </c>
      <c r="G494" s="2">
        <v>0.43</v>
      </c>
      <c r="J494" s="8">
        <f>IF(Tableau3[[#This Row],[prospet]]=0,0,Tableau3[[#This Row],[Ventes]]/Tableau3[[#This Row],[prospet]])</f>
        <v>0</v>
      </c>
      <c r="K494">
        <v>3330821</v>
      </c>
    </row>
    <row r="495" spans="1:11" hidden="1" x14ac:dyDescent="0.3">
      <c r="A495" s="1">
        <v>46185</v>
      </c>
      <c r="B495" t="s">
        <v>109</v>
      </c>
      <c r="C495" t="s">
        <v>110</v>
      </c>
      <c r="D495" t="s">
        <v>109</v>
      </c>
      <c r="E495">
        <v>26</v>
      </c>
      <c r="G495" s="2">
        <v>2.19</v>
      </c>
      <c r="J495" s="8">
        <f>IF(Tableau3[[#This Row],[prospet]]=0,0,Tableau3[[#This Row],[Ventes]]/Tableau3[[#This Row],[prospet]])</f>
        <v>0</v>
      </c>
      <c r="K495">
        <v>4090831</v>
      </c>
    </row>
    <row r="496" spans="1:11" hidden="1" x14ac:dyDescent="0.3">
      <c r="A496" s="1">
        <v>46185</v>
      </c>
      <c r="B496" t="s">
        <v>111</v>
      </c>
      <c r="C496" t="s">
        <v>138</v>
      </c>
      <c r="D496" t="s">
        <v>115</v>
      </c>
      <c r="E496">
        <v>15</v>
      </c>
      <c r="F496">
        <v>1</v>
      </c>
      <c r="G496" s="2">
        <v>2.1800000000000002</v>
      </c>
      <c r="H496">
        <v>5000</v>
      </c>
      <c r="I496">
        <v>1000</v>
      </c>
      <c r="J496" s="8">
        <f>IF(Tableau3[[#This Row],[prospet]]=0,0,Tableau3[[#This Row],[Ventes]]/Tableau3[[#This Row],[prospet]])</f>
        <v>6.6666666666666666E-2</v>
      </c>
      <c r="K496">
        <v>4209873</v>
      </c>
    </row>
    <row r="497" spans="1:11" hidden="1" x14ac:dyDescent="0.3">
      <c r="A497" s="1">
        <v>46185</v>
      </c>
      <c r="B497" t="s">
        <v>112</v>
      </c>
      <c r="C497" t="s">
        <v>138</v>
      </c>
      <c r="D497" t="s">
        <v>113</v>
      </c>
      <c r="E497">
        <v>30</v>
      </c>
      <c r="F497">
        <v>4</v>
      </c>
      <c r="G497" s="2">
        <v>1.61</v>
      </c>
      <c r="H497">
        <f>25000+5000+10000</f>
        <v>40000</v>
      </c>
      <c r="I497">
        <f>5000+1000+2500</f>
        <v>8500</v>
      </c>
      <c r="J497" s="8">
        <f>IF(Tableau3[[#This Row],[prospet]]=0,0,Tableau3[[#This Row],[Ventes]]/Tableau3[[#This Row],[prospet]])</f>
        <v>0.13333333333333333</v>
      </c>
      <c r="K497">
        <v>4937885</v>
      </c>
    </row>
    <row r="498" spans="1:11" hidden="1" x14ac:dyDescent="0.3">
      <c r="A498" s="1">
        <v>46186</v>
      </c>
      <c r="B498" t="s">
        <v>16</v>
      </c>
      <c r="C498" t="s">
        <v>85</v>
      </c>
      <c r="D498" t="s">
        <v>18</v>
      </c>
      <c r="E498">
        <v>8</v>
      </c>
      <c r="F498">
        <v>1</v>
      </c>
      <c r="G498" s="2">
        <v>0.86</v>
      </c>
      <c r="H498">
        <v>15000</v>
      </c>
      <c r="I498">
        <v>2500</v>
      </c>
      <c r="J498" s="8">
        <f>IF(Tableau3[[#This Row],[prospet]]=0,0,Tableau3[[#This Row],[Ventes]]/Tableau3[[#This Row],[prospet]])</f>
        <v>0.125</v>
      </c>
      <c r="K498">
        <v>4316190</v>
      </c>
    </row>
    <row r="499" spans="1:11" hidden="1" x14ac:dyDescent="0.3">
      <c r="A499" s="1">
        <v>46186</v>
      </c>
      <c r="B499" t="s">
        <v>9</v>
      </c>
      <c r="C499" t="s">
        <v>86</v>
      </c>
      <c r="D499" t="s">
        <v>13</v>
      </c>
      <c r="E499">
        <v>8</v>
      </c>
      <c r="F499">
        <v>3</v>
      </c>
      <c r="G499" s="2">
        <v>0.87</v>
      </c>
      <c r="H499">
        <f>22000+4000</f>
        <v>26000</v>
      </c>
      <c r="I499">
        <f>5000+1000</f>
        <v>6000</v>
      </c>
      <c r="J499" s="8">
        <f>IF(Tableau3[[#This Row],[prospet]]=0,0,Tableau3[[#This Row],[Ventes]]/Tableau3[[#This Row],[prospet]])</f>
        <v>0.375</v>
      </c>
      <c r="K499">
        <v>4554529</v>
      </c>
    </row>
    <row r="500" spans="1:11" hidden="1" x14ac:dyDescent="0.3">
      <c r="A500" s="1">
        <v>46186</v>
      </c>
      <c r="B500" t="s">
        <v>43</v>
      </c>
      <c r="C500" t="s">
        <v>11</v>
      </c>
      <c r="D500" t="s">
        <v>43</v>
      </c>
      <c r="E500">
        <v>5</v>
      </c>
      <c r="G500" s="2">
        <v>0.34</v>
      </c>
      <c r="J500" s="8">
        <f>IF(Tableau3[[#This Row],[prospet]]=0,0,Tableau3[[#This Row],[Ventes]]/Tableau3[[#This Row],[prospet]])</f>
        <v>0</v>
      </c>
      <c r="K500">
        <v>4348553</v>
      </c>
    </row>
    <row r="501" spans="1:11" hidden="1" x14ac:dyDescent="0.3">
      <c r="A501" s="1">
        <v>46186</v>
      </c>
      <c r="B501" t="s">
        <v>30</v>
      </c>
      <c r="C501" t="s">
        <v>88</v>
      </c>
      <c r="D501" t="s">
        <v>30</v>
      </c>
      <c r="E501">
        <v>1</v>
      </c>
      <c r="G501">
        <v>0.17</v>
      </c>
      <c r="J501" s="8">
        <f>IF(Tableau3[[#This Row],[prospet]]=0,0,Tableau3[[#This Row],[Ventes]]/Tableau3[[#This Row],[prospet]])</f>
        <v>0</v>
      </c>
      <c r="K501">
        <v>4586158</v>
      </c>
    </row>
    <row r="502" spans="1:11" hidden="1" x14ac:dyDescent="0.3">
      <c r="A502" s="1">
        <v>46186</v>
      </c>
      <c r="B502" t="s">
        <v>3</v>
      </c>
      <c r="C502" t="s">
        <v>89</v>
      </c>
      <c r="D502" t="s">
        <v>3</v>
      </c>
      <c r="E502">
        <v>3</v>
      </c>
      <c r="F502">
        <v>3</v>
      </c>
      <c r="G502">
        <v>0.71</v>
      </c>
      <c r="H502">
        <f>8000+11000</f>
        <v>19000</v>
      </c>
      <c r="I502">
        <v>4500</v>
      </c>
      <c r="J502" s="8">
        <f>IF(Tableau3[[#This Row],[prospet]]=0,0,Tableau3[[#This Row],[Ventes]]/Tableau3[[#This Row],[prospet]])</f>
        <v>1</v>
      </c>
      <c r="K502">
        <v>4561858</v>
      </c>
    </row>
    <row r="503" spans="1:11" hidden="1" x14ac:dyDescent="0.3">
      <c r="A503" s="1">
        <v>46186</v>
      </c>
      <c r="B503" t="s">
        <v>60</v>
      </c>
      <c r="C503" t="s">
        <v>85</v>
      </c>
      <c r="D503" t="s">
        <v>61</v>
      </c>
      <c r="E503">
        <v>2</v>
      </c>
      <c r="G503">
        <v>0.71</v>
      </c>
      <c r="J503" s="8">
        <f>IF(Tableau3[[#This Row],[prospet]]=0,0,Tableau3[[#This Row],[Ventes]]/Tableau3[[#This Row],[prospet]])</f>
        <v>0</v>
      </c>
      <c r="K503">
        <v>4587211</v>
      </c>
    </row>
    <row r="504" spans="1:11" hidden="1" x14ac:dyDescent="0.3">
      <c r="A504" s="1">
        <v>46186</v>
      </c>
      <c r="B504" t="s">
        <v>62</v>
      </c>
      <c r="C504" t="s">
        <v>90</v>
      </c>
      <c r="D504" t="s">
        <v>62</v>
      </c>
      <c r="E504">
        <v>5</v>
      </c>
      <c r="F504">
        <v>3</v>
      </c>
      <c r="G504">
        <v>0.31</v>
      </c>
      <c r="H504">
        <f>4000*3</f>
        <v>12000</v>
      </c>
      <c r="I504">
        <v>3000</v>
      </c>
      <c r="J504" s="8">
        <f>IF(Tableau3[[#This Row],[prospet]]=0,0,Tableau3[[#This Row],[Ventes]]/Tableau3[[#This Row],[prospet]])</f>
        <v>0.6</v>
      </c>
      <c r="K504">
        <v>4221767</v>
      </c>
    </row>
    <row r="505" spans="1:11" hidden="1" x14ac:dyDescent="0.3">
      <c r="A505" s="1">
        <v>46186</v>
      </c>
      <c r="B505" t="s">
        <v>63</v>
      </c>
      <c r="C505" t="s">
        <v>91</v>
      </c>
      <c r="D505" t="s">
        <v>154</v>
      </c>
      <c r="E505">
        <v>4</v>
      </c>
      <c r="G505" s="2">
        <v>0.36</v>
      </c>
      <c r="J505" s="8">
        <f>IF(Tableau3[[#This Row],[prospet]]=0,0,Tableau3[[#This Row],[Ventes]]/Tableau3[[#This Row],[prospet]])</f>
        <v>0</v>
      </c>
      <c r="K505">
        <v>4463888</v>
      </c>
    </row>
    <row r="506" spans="1:11" hidden="1" x14ac:dyDescent="0.3">
      <c r="A506" s="1">
        <v>46186</v>
      </c>
      <c r="B506" t="s">
        <v>64</v>
      </c>
      <c r="C506" t="s">
        <v>29</v>
      </c>
      <c r="D506" t="s">
        <v>64</v>
      </c>
      <c r="E506">
        <v>3</v>
      </c>
      <c r="G506">
        <v>0.38</v>
      </c>
      <c r="J506" s="8">
        <f>IF(Tableau3[[#This Row],[prospet]]=0,0,Tableau3[[#This Row],[Ventes]]/Tableau3[[#This Row],[prospet]])</f>
        <v>0</v>
      </c>
      <c r="K506">
        <v>4080782</v>
      </c>
    </row>
    <row r="507" spans="1:11" hidden="1" x14ac:dyDescent="0.3">
      <c r="A507" s="1">
        <v>46186</v>
      </c>
      <c r="B507" t="s">
        <v>81</v>
      </c>
      <c r="C507" t="s">
        <v>92</v>
      </c>
      <c r="D507" t="s">
        <v>81</v>
      </c>
      <c r="E507">
        <v>5</v>
      </c>
      <c r="F507">
        <v>2</v>
      </c>
      <c r="G507" s="2">
        <v>0.32</v>
      </c>
      <c r="H507">
        <f>8000</f>
        <v>8000</v>
      </c>
      <c r="I507">
        <v>2000</v>
      </c>
      <c r="J507" s="8">
        <f>IF(Tableau3[[#This Row],[prospet]]=0,0,Tableau3[[#This Row],[Ventes]]/Tableau3[[#This Row],[prospet]])</f>
        <v>0.4</v>
      </c>
      <c r="K507">
        <v>4559847</v>
      </c>
    </row>
    <row r="508" spans="1:11" hidden="1" x14ac:dyDescent="0.3">
      <c r="A508" s="1">
        <v>46186</v>
      </c>
      <c r="B508" t="s">
        <v>82</v>
      </c>
      <c r="C508" t="s">
        <v>11</v>
      </c>
      <c r="D508" t="s">
        <v>82</v>
      </c>
      <c r="E508">
        <v>2</v>
      </c>
      <c r="G508" s="2">
        <v>0.17</v>
      </c>
      <c r="J508" s="8">
        <f>IF(Tableau3[[#This Row],[prospet]]=0,0,Tableau3[[#This Row],[Ventes]]/Tableau3[[#This Row],[prospet]])</f>
        <v>0</v>
      </c>
      <c r="K508">
        <v>4541035</v>
      </c>
    </row>
    <row r="509" spans="1:11" hidden="1" x14ac:dyDescent="0.3">
      <c r="A509" s="1">
        <v>46186</v>
      </c>
      <c r="B509" t="s">
        <v>97</v>
      </c>
      <c r="C509" t="s">
        <v>93</v>
      </c>
      <c r="D509" t="s">
        <v>97</v>
      </c>
      <c r="E509">
        <v>10</v>
      </c>
      <c r="G509" s="2">
        <v>0.8</v>
      </c>
      <c r="J509" s="8">
        <f>IF(Tableau3[[#This Row],[prospet]]=0,0,Tableau3[[#This Row],[Ventes]]/Tableau3[[#This Row],[prospet]])</f>
        <v>0</v>
      </c>
      <c r="K509">
        <v>4636761</v>
      </c>
    </row>
    <row r="510" spans="1:11" hidden="1" x14ac:dyDescent="0.3">
      <c r="A510" s="1">
        <v>46186</v>
      </c>
      <c r="B510" t="s">
        <v>80</v>
      </c>
      <c r="C510" t="s">
        <v>94</v>
      </c>
      <c r="D510" t="s">
        <v>155</v>
      </c>
      <c r="F510">
        <v>6</v>
      </c>
      <c r="G510" s="2">
        <v>0.91</v>
      </c>
      <c r="H510">
        <f>4000+33000+8500+5000</f>
        <v>50500</v>
      </c>
      <c r="I510">
        <f>1000+7500+2500+1000</f>
        <v>12000</v>
      </c>
      <c r="J510" s="8">
        <f>IF(Tableau3[[#This Row],[prospet]]=0,0,Tableau3[[#This Row],[Ventes]]/Tableau3[[#This Row],[prospet]])</f>
        <v>0</v>
      </c>
      <c r="K510">
        <v>4636772</v>
      </c>
    </row>
    <row r="511" spans="1:11" hidden="1" x14ac:dyDescent="0.3">
      <c r="A511" s="1">
        <v>46186</v>
      </c>
      <c r="B511" t="s">
        <v>83</v>
      </c>
      <c r="C511" t="s">
        <v>95</v>
      </c>
      <c r="D511" t="s">
        <v>83</v>
      </c>
      <c r="E511">
        <v>20</v>
      </c>
      <c r="G511" s="2">
        <v>2.35</v>
      </c>
      <c r="J511" s="8">
        <f>IF(Tableau3[[#This Row],[prospet]]=0,0,Tableau3[[#This Row],[Ventes]]/Tableau3[[#This Row],[prospet]])</f>
        <v>0</v>
      </c>
      <c r="K511">
        <v>3947053</v>
      </c>
    </row>
    <row r="512" spans="1:11" hidden="1" x14ac:dyDescent="0.3">
      <c r="A512" s="1">
        <v>46186</v>
      </c>
      <c r="B512" t="s">
        <v>84</v>
      </c>
      <c r="C512" t="s">
        <v>96</v>
      </c>
      <c r="D512" t="s">
        <v>84</v>
      </c>
      <c r="E512">
        <v>13</v>
      </c>
      <c r="G512" s="2">
        <v>1.07</v>
      </c>
      <c r="J512" s="8">
        <f>IF(Tableau3[[#This Row],[prospet]]=0,0,Tableau3[[#This Row],[Ventes]]/Tableau3[[#This Row],[prospet]])</f>
        <v>0</v>
      </c>
      <c r="K512">
        <v>4587817</v>
      </c>
    </row>
    <row r="513" spans="1:11" hidden="1" x14ac:dyDescent="0.3">
      <c r="A513" s="1">
        <v>46186</v>
      </c>
      <c r="B513" t="s">
        <v>98</v>
      </c>
      <c r="C513" t="s">
        <v>99</v>
      </c>
      <c r="D513" t="s">
        <v>98</v>
      </c>
      <c r="E513">
        <v>2</v>
      </c>
      <c r="G513" s="2">
        <v>0.51</v>
      </c>
      <c r="J513" s="8">
        <f>IF(Tableau3[[#This Row],[prospet]]=0,0,Tableau3[[#This Row],[Ventes]]/Tableau3[[#This Row],[prospet]])</f>
        <v>0</v>
      </c>
      <c r="K513">
        <v>3330821</v>
      </c>
    </row>
    <row r="514" spans="1:11" hidden="1" x14ac:dyDescent="0.3">
      <c r="A514" s="1">
        <v>46186</v>
      </c>
      <c r="B514" t="s">
        <v>109</v>
      </c>
      <c r="C514" t="s">
        <v>110</v>
      </c>
      <c r="D514" t="s">
        <v>109</v>
      </c>
      <c r="E514">
        <v>1</v>
      </c>
      <c r="G514" s="2">
        <v>0.04</v>
      </c>
      <c r="J514" s="8">
        <f>IF(Tableau3[[#This Row],[prospet]]=0,0,Tableau3[[#This Row],[Ventes]]/Tableau3[[#This Row],[prospet]])</f>
        <v>0</v>
      </c>
      <c r="K514">
        <v>4090831</v>
      </c>
    </row>
    <row r="515" spans="1:11" hidden="1" x14ac:dyDescent="0.3">
      <c r="A515" s="1">
        <v>46186</v>
      </c>
      <c r="B515" t="s">
        <v>111</v>
      </c>
      <c r="C515" t="s">
        <v>138</v>
      </c>
      <c r="D515" t="s">
        <v>115</v>
      </c>
      <c r="E515">
        <v>2</v>
      </c>
      <c r="G515" s="2">
        <v>0.51</v>
      </c>
      <c r="J515" s="8">
        <f>IF(Tableau3[[#This Row],[prospet]]=0,0,Tableau3[[#This Row],[Ventes]]/Tableau3[[#This Row],[prospet]])</f>
        <v>0</v>
      </c>
      <c r="K515">
        <v>4209873</v>
      </c>
    </row>
    <row r="516" spans="1:11" hidden="1" x14ac:dyDescent="0.3">
      <c r="A516" s="1">
        <v>46186</v>
      </c>
      <c r="B516" t="s">
        <v>112</v>
      </c>
      <c r="C516" t="s">
        <v>138</v>
      </c>
      <c r="D516" t="s">
        <v>113</v>
      </c>
      <c r="E516">
        <v>7</v>
      </c>
      <c r="F516">
        <v>1</v>
      </c>
      <c r="G516" s="2">
        <v>0.89</v>
      </c>
      <c r="H516">
        <v>11000</v>
      </c>
      <c r="I516">
        <v>2500</v>
      </c>
      <c r="J516" s="8">
        <f>IF(Tableau3[[#This Row],[prospet]]=0,0,Tableau3[[#This Row],[Ventes]]/Tableau3[[#This Row],[prospet]])</f>
        <v>0.14285714285714285</v>
      </c>
      <c r="K516">
        <v>4937885</v>
      </c>
    </row>
    <row r="517" spans="1:11" hidden="1" x14ac:dyDescent="0.3">
      <c r="A517" s="1">
        <v>46187</v>
      </c>
      <c r="B517" t="s">
        <v>16</v>
      </c>
      <c r="C517" t="s">
        <v>85</v>
      </c>
      <c r="D517" t="s">
        <v>18</v>
      </c>
      <c r="E517">
        <v>8</v>
      </c>
      <c r="G517" s="2">
        <v>0.88</v>
      </c>
      <c r="J517" s="8">
        <f>IF(Tableau3[[#This Row],[prospet]]=0,0,Tableau3[[#This Row],[Ventes]]/Tableau3[[#This Row],[prospet]])</f>
        <v>0</v>
      </c>
      <c r="K517">
        <v>4316190</v>
      </c>
    </row>
    <row r="518" spans="1:11" hidden="1" x14ac:dyDescent="0.3">
      <c r="A518" s="1">
        <v>46187</v>
      </c>
      <c r="B518" t="s">
        <v>9</v>
      </c>
      <c r="C518" t="s">
        <v>86</v>
      </c>
      <c r="D518" t="s">
        <v>13</v>
      </c>
      <c r="E518">
        <v>8</v>
      </c>
      <c r="G518" s="2">
        <v>0.88</v>
      </c>
      <c r="J518" s="8">
        <f>IF(Tableau3[[#This Row],[prospet]]=0,0,Tableau3[[#This Row],[Ventes]]/Tableau3[[#This Row],[prospet]])</f>
        <v>0</v>
      </c>
      <c r="K518">
        <v>4554529</v>
      </c>
    </row>
    <row r="519" spans="1:11" hidden="1" x14ac:dyDescent="0.3">
      <c r="A519" s="1">
        <v>46187</v>
      </c>
      <c r="B519" t="s">
        <v>43</v>
      </c>
      <c r="C519" t="s">
        <v>11</v>
      </c>
      <c r="D519" t="s">
        <v>43</v>
      </c>
      <c r="E519">
        <v>5</v>
      </c>
      <c r="G519" s="2">
        <v>0.35</v>
      </c>
      <c r="J519" s="8">
        <f>IF(Tableau3[[#This Row],[prospet]]=0,0,Tableau3[[#This Row],[Ventes]]/Tableau3[[#This Row],[prospet]])</f>
        <v>0</v>
      </c>
      <c r="K519">
        <v>4348553</v>
      </c>
    </row>
    <row r="520" spans="1:11" hidden="1" x14ac:dyDescent="0.3">
      <c r="A520" s="1">
        <v>46187</v>
      </c>
      <c r="B520" t="s">
        <v>30</v>
      </c>
      <c r="C520" t="s">
        <v>88</v>
      </c>
      <c r="D520" t="s">
        <v>30</v>
      </c>
      <c r="G520" s="2">
        <v>0.18</v>
      </c>
      <c r="J520" s="8">
        <f>IF(Tableau3[[#This Row],[prospet]]=0,0,Tableau3[[#This Row],[Ventes]]/Tableau3[[#This Row],[prospet]])</f>
        <v>0</v>
      </c>
      <c r="K520">
        <v>4586158</v>
      </c>
    </row>
    <row r="521" spans="1:11" hidden="1" x14ac:dyDescent="0.3">
      <c r="A521" s="1">
        <v>46187</v>
      </c>
      <c r="B521" t="s">
        <v>3</v>
      </c>
      <c r="C521" t="s">
        <v>89</v>
      </c>
      <c r="D521" t="s">
        <v>3</v>
      </c>
      <c r="E521">
        <v>3</v>
      </c>
      <c r="G521" s="2">
        <v>0.73</v>
      </c>
      <c r="J521" s="8">
        <f>IF(Tableau3[[#This Row],[prospet]]=0,0,Tableau3[[#This Row],[Ventes]]/Tableau3[[#This Row],[prospet]])</f>
        <v>0</v>
      </c>
      <c r="K521">
        <v>4561858</v>
      </c>
    </row>
    <row r="522" spans="1:11" hidden="1" x14ac:dyDescent="0.3">
      <c r="A522" s="1">
        <v>46187</v>
      </c>
      <c r="B522" t="s">
        <v>60</v>
      </c>
      <c r="C522" t="s">
        <v>85</v>
      </c>
      <c r="D522" t="s">
        <v>61</v>
      </c>
      <c r="E522">
        <v>2</v>
      </c>
      <c r="G522" s="2">
        <v>0.71</v>
      </c>
      <c r="J522" s="8">
        <f>IF(Tableau3[[#This Row],[prospet]]=0,0,Tableau3[[#This Row],[Ventes]]/Tableau3[[#This Row],[prospet]])</f>
        <v>0</v>
      </c>
      <c r="K522">
        <v>4587211</v>
      </c>
    </row>
    <row r="523" spans="1:11" hidden="1" x14ac:dyDescent="0.3">
      <c r="A523" s="1">
        <v>46187</v>
      </c>
      <c r="B523" t="s">
        <v>62</v>
      </c>
      <c r="C523" t="s">
        <v>90</v>
      </c>
      <c r="D523" t="s">
        <v>62</v>
      </c>
      <c r="E523">
        <v>5</v>
      </c>
      <c r="G523" s="2">
        <v>0.31</v>
      </c>
      <c r="J523" s="8">
        <f>IF(Tableau3[[#This Row],[prospet]]=0,0,Tableau3[[#This Row],[Ventes]]/Tableau3[[#This Row],[prospet]])</f>
        <v>0</v>
      </c>
      <c r="K523">
        <v>4221767</v>
      </c>
    </row>
    <row r="524" spans="1:11" hidden="1" x14ac:dyDescent="0.3">
      <c r="A524" s="1">
        <v>46187</v>
      </c>
      <c r="B524" t="s">
        <v>63</v>
      </c>
      <c r="C524" t="s">
        <v>91</v>
      </c>
      <c r="D524" t="s">
        <v>154</v>
      </c>
      <c r="E524">
        <v>4</v>
      </c>
      <c r="G524" s="2">
        <v>0.36</v>
      </c>
      <c r="J524" s="8">
        <f>IF(Tableau3[[#This Row],[prospet]]=0,0,Tableau3[[#This Row],[Ventes]]/Tableau3[[#This Row],[prospet]])</f>
        <v>0</v>
      </c>
      <c r="K524">
        <v>4463888</v>
      </c>
    </row>
    <row r="525" spans="1:11" hidden="1" x14ac:dyDescent="0.3">
      <c r="A525" s="1">
        <v>46187</v>
      </c>
      <c r="B525" t="s">
        <v>64</v>
      </c>
      <c r="C525" t="s">
        <v>29</v>
      </c>
      <c r="D525" t="s">
        <v>64</v>
      </c>
      <c r="E525">
        <v>3</v>
      </c>
      <c r="G525" s="2">
        <v>0.38</v>
      </c>
      <c r="J525" s="8">
        <f>IF(Tableau3[[#This Row],[prospet]]=0,0,Tableau3[[#This Row],[Ventes]]/Tableau3[[#This Row],[prospet]])</f>
        <v>0</v>
      </c>
      <c r="K525">
        <v>4080782</v>
      </c>
    </row>
    <row r="526" spans="1:11" hidden="1" x14ac:dyDescent="0.3">
      <c r="A526" s="1">
        <v>46187</v>
      </c>
      <c r="B526" t="s">
        <v>81</v>
      </c>
      <c r="C526" t="s">
        <v>92</v>
      </c>
      <c r="D526" t="s">
        <v>81</v>
      </c>
      <c r="E526">
        <v>5</v>
      </c>
      <c r="G526" s="2">
        <v>0.33</v>
      </c>
      <c r="J526" s="8">
        <f>IF(Tableau3[[#This Row],[prospet]]=0,0,Tableau3[[#This Row],[Ventes]]/Tableau3[[#This Row],[prospet]])</f>
        <v>0</v>
      </c>
      <c r="K526">
        <v>4559847</v>
      </c>
    </row>
    <row r="527" spans="1:11" hidden="1" x14ac:dyDescent="0.3">
      <c r="A527" s="1">
        <v>46187</v>
      </c>
      <c r="B527" t="s">
        <v>82</v>
      </c>
      <c r="C527" t="s">
        <v>11</v>
      </c>
      <c r="D527" t="s">
        <v>82</v>
      </c>
      <c r="E527">
        <v>2</v>
      </c>
      <c r="G527" s="2">
        <v>0.17</v>
      </c>
      <c r="J527" s="8">
        <f>IF(Tableau3[[#This Row],[prospet]]=0,0,Tableau3[[#This Row],[Ventes]]/Tableau3[[#This Row],[prospet]])</f>
        <v>0</v>
      </c>
      <c r="K527">
        <v>4541035</v>
      </c>
    </row>
    <row r="528" spans="1:11" hidden="1" x14ac:dyDescent="0.3">
      <c r="A528" s="1">
        <v>46187</v>
      </c>
      <c r="B528" t="s">
        <v>97</v>
      </c>
      <c r="C528" t="s">
        <v>93</v>
      </c>
      <c r="D528" t="s">
        <v>97</v>
      </c>
      <c r="E528">
        <v>10</v>
      </c>
      <c r="G528" s="2">
        <v>0.82</v>
      </c>
      <c r="J528" s="8">
        <f>IF(Tableau3[[#This Row],[prospet]]=0,0,Tableau3[[#This Row],[Ventes]]/Tableau3[[#This Row],[prospet]])</f>
        <v>0</v>
      </c>
      <c r="K528">
        <v>4636761</v>
      </c>
    </row>
    <row r="529" spans="1:11" hidden="1" x14ac:dyDescent="0.3">
      <c r="A529" s="1">
        <v>46187</v>
      </c>
      <c r="B529" t="s">
        <v>80</v>
      </c>
      <c r="C529" t="s">
        <v>94</v>
      </c>
      <c r="D529" t="s">
        <v>155</v>
      </c>
      <c r="E529">
        <v>3</v>
      </c>
      <c r="G529" s="2">
        <v>0.93</v>
      </c>
      <c r="J529" s="8">
        <f>IF(Tableau3[[#This Row],[prospet]]=0,0,Tableau3[[#This Row],[Ventes]]/Tableau3[[#This Row],[prospet]])</f>
        <v>0</v>
      </c>
      <c r="K529">
        <v>4636772</v>
      </c>
    </row>
    <row r="530" spans="1:11" hidden="1" x14ac:dyDescent="0.3">
      <c r="A530" s="1">
        <v>46187</v>
      </c>
      <c r="B530" t="s">
        <v>83</v>
      </c>
      <c r="C530" t="s">
        <v>95</v>
      </c>
      <c r="D530" t="s">
        <v>83</v>
      </c>
      <c r="E530">
        <v>20</v>
      </c>
      <c r="G530" s="2">
        <v>2.42</v>
      </c>
      <c r="J530" s="8">
        <f>IF(Tableau3[[#This Row],[prospet]]=0,0,Tableau3[[#This Row],[Ventes]]/Tableau3[[#This Row],[prospet]])</f>
        <v>0</v>
      </c>
      <c r="K530">
        <v>3947053</v>
      </c>
    </row>
    <row r="531" spans="1:11" hidden="1" x14ac:dyDescent="0.3">
      <c r="A531" s="1">
        <v>46187</v>
      </c>
      <c r="B531" t="s">
        <v>84</v>
      </c>
      <c r="C531" t="s">
        <v>96</v>
      </c>
      <c r="D531" t="s">
        <v>84</v>
      </c>
      <c r="E531">
        <v>13</v>
      </c>
      <c r="G531" s="2">
        <v>1.07</v>
      </c>
      <c r="J531" s="8">
        <f>IF(Tableau3[[#This Row],[prospet]]=0,0,Tableau3[[#This Row],[Ventes]]/Tableau3[[#This Row],[prospet]])</f>
        <v>0</v>
      </c>
      <c r="K531">
        <v>4587817</v>
      </c>
    </row>
    <row r="532" spans="1:11" hidden="1" x14ac:dyDescent="0.3">
      <c r="A532" s="1">
        <v>46187</v>
      </c>
      <c r="B532" t="s">
        <v>98</v>
      </c>
      <c r="C532" t="s">
        <v>99</v>
      </c>
      <c r="D532" t="s">
        <v>98</v>
      </c>
      <c r="E532">
        <v>2</v>
      </c>
      <c r="G532" s="2">
        <v>0.52</v>
      </c>
      <c r="J532" s="8">
        <f>IF(Tableau3[[#This Row],[prospet]]=0,0,Tableau3[[#This Row],[Ventes]]/Tableau3[[#This Row],[prospet]])</f>
        <v>0</v>
      </c>
      <c r="K532">
        <v>3330821</v>
      </c>
    </row>
    <row r="533" spans="1:11" hidden="1" x14ac:dyDescent="0.3">
      <c r="A533" s="1">
        <v>46187</v>
      </c>
      <c r="B533" t="s">
        <v>109</v>
      </c>
      <c r="C533" t="s">
        <v>110</v>
      </c>
      <c r="D533" t="s">
        <v>109</v>
      </c>
      <c r="E533">
        <v>1</v>
      </c>
      <c r="G533" s="2">
        <v>0.04</v>
      </c>
      <c r="J533" s="8">
        <f>IF(Tableau3[[#This Row],[prospet]]=0,0,Tableau3[[#This Row],[Ventes]]/Tableau3[[#This Row],[prospet]])</f>
        <v>0</v>
      </c>
      <c r="K533">
        <v>4090831</v>
      </c>
    </row>
    <row r="534" spans="1:11" hidden="1" x14ac:dyDescent="0.3">
      <c r="A534" s="1">
        <v>46187</v>
      </c>
      <c r="B534" t="s">
        <v>111</v>
      </c>
      <c r="C534" t="s">
        <v>138</v>
      </c>
      <c r="D534" t="s">
        <v>115</v>
      </c>
      <c r="E534">
        <v>5</v>
      </c>
      <c r="G534" s="2">
        <v>0.51</v>
      </c>
      <c r="J534" s="8">
        <f>IF(Tableau3[[#This Row],[prospet]]=0,0,Tableau3[[#This Row],[Ventes]]/Tableau3[[#This Row],[prospet]])</f>
        <v>0</v>
      </c>
      <c r="K534">
        <v>4209873</v>
      </c>
    </row>
    <row r="535" spans="1:11" hidden="1" x14ac:dyDescent="0.3">
      <c r="A535" s="1">
        <v>46187</v>
      </c>
      <c r="B535" t="s">
        <v>112</v>
      </c>
      <c r="C535" t="s">
        <v>138</v>
      </c>
      <c r="D535" t="s">
        <v>113</v>
      </c>
      <c r="E535">
        <v>7</v>
      </c>
      <c r="G535" s="2">
        <v>0.92</v>
      </c>
      <c r="J535" s="8">
        <f>IF(Tableau3[[#This Row],[prospet]]=0,0,Tableau3[[#This Row],[Ventes]]/Tableau3[[#This Row],[prospet]])</f>
        <v>0</v>
      </c>
      <c r="K535">
        <v>4937885</v>
      </c>
    </row>
    <row r="536" spans="1:11" hidden="1" x14ac:dyDescent="0.3">
      <c r="A536" s="1">
        <v>46188</v>
      </c>
      <c r="B536" t="s">
        <v>16</v>
      </c>
      <c r="C536" t="s">
        <v>85</v>
      </c>
      <c r="D536" t="s">
        <v>18</v>
      </c>
      <c r="E536">
        <v>39</v>
      </c>
      <c r="F536">
        <v>3</v>
      </c>
      <c r="G536" s="2">
        <v>3.28</v>
      </c>
      <c r="H536">
        <f>11000+17500+8500</f>
        <v>37000</v>
      </c>
      <c r="I536">
        <f>2500+2500+2500</f>
        <v>7500</v>
      </c>
      <c r="J536" s="8">
        <f>IF(Tableau3[[#This Row],[prospet]]=0,0,Tableau3[[#This Row],[Ventes]]/Tableau3[[#This Row],[prospet]])</f>
        <v>7.6923076923076927E-2</v>
      </c>
      <c r="K536">
        <v>4316190</v>
      </c>
    </row>
    <row r="537" spans="1:11" hidden="1" x14ac:dyDescent="0.3">
      <c r="A537" s="1">
        <v>46188</v>
      </c>
      <c r="B537" t="s">
        <v>9</v>
      </c>
      <c r="C537" t="s">
        <v>86</v>
      </c>
      <c r="D537" t="s">
        <v>13</v>
      </c>
      <c r="E537">
        <v>77</v>
      </c>
      <c r="F537">
        <v>3</v>
      </c>
      <c r="G537" s="2">
        <v>1.27</v>
      </c>
      <c r="H537">
        <f>12500+15000+11000</f>
        <v>38500</v>
      </c>
      <c r="I537">
        <f>2500+2500+2500</f>
        <v>7500</v>
      </c>
      <c r="J537" s="8">
        <f>IF(Tableau3[[#This Row],[prospet]]=0,0,Tableau3[[#This Row],[Ventes]]/Tableau3[[#This Row],[prospet]])</f>
        <v>3.896103896103896E-2</v>
      </c>
      <c r="K537">
        <v>4554529</v>
      </c>
    </row>
    <row r="538" spans="1:11" hidden="1" x14ac:dyDescent="0.3">
      <c r="A538" s="1">
        <v>46188</v>
      </c>
      <c r="B538" t="s">
        <v>43</v>
      </c>
      <c r="C538" t="s">
        <v>11</v>
      </c>
      <c r="D538" t="s">
        <v>43</v>
      </c>
      <c r="E538">
        <v>35</v>
      </c>
      <c r="F538">
        <v>2</v>
      </c>
      <c r="G538" s="2">
        <v>2.96</v>
      </c>
      <c r="H538">
        <f>17000</f>
        <v>17000</v>
      </c>
      <c r="I538">
        <v>5000</v>
      </c>
      <c r="J538" s="8">
        <f>IF(Tableau3[[#This Row],[prospet]]=0,0,Tableau3[[#This Row],[Ventes]]/Tableau3[[#This Row],[prospet]])</f>
        <v>5.7142857142857141E-2</v>
      </c>
      <c r="K538">
        <v>4348553</v>
      </c>
    </row>
    <row r="539" spans="1:11" hidden="1" x14ac:dyDescent="0.3">
      <c r="A539" s="1">
        <v>46188</v>
      </c>
      <c r="B539" t="s">
        <v>30</v>
      </c>
      <c r="C539" t="s">
        <v>88</v>
      </c>
      <c r="D539" t="s">
        <v>30</v>
      </c>
      <c r="E539">
        <v>17</v>
      </c>
      <c r="F539">
        <v>1</v>
      </c>
      <c r="G539" s="2">
        <v>2.42</v>
      </c>
      <c r="H539">
        <v>12500</v>
      </c>
      <c r="I539">
        <v>2500</v>
      </c>
      <c r="J539" s="8">
        <f>IF(Tableau3[[#This Row],[prospet]]=0,0,Tableau3[[#This Row],[Ventes]]/Tableau3[[#This Row],[prospet]])</f>
        <v>5.8823529411764705E-2</v>
      </c>
      <c r="K539">
        <v>4586158</v>
      </c>
    </row>
    <row r="540" spans="1:11" hidden="1" x14ac:dyDescent="0.3">
      <c r="A540" s="1">
        <v>46188</v>
      </c>
      <c r="B540" t="s">
        <v>3</v>
      </c>
      <c r="C540" t="s">
        <v>89</v>
      </c>
      <c r="D540" t="s">
        <v>3</v>
      </c>
      <c r="E540">
        <v>27</v>
      </c>
      <c r="F540">
        <v>3</v>
      </c>
      <c r="G540" s="2">
        <v>3.35</v>
      </c>
      <c r="H540">
        <f>12500+8000</f>
        <v>20500</v>
      </c>
      <c r="I540">
        <f>1500+2000</f>
        <v>3500</v>
      </c>
      <c r="J540" s="8">
        <f>IF(Tableau3[[#This Row],[prospet]]=0,0,Tableau3[[#This Row],[Ventes]]/Tableau3[[#This Row],[prospet]])</f>
        <v>0.1111111111111111</v>
      </c>
      <c r="K540">
        <v>4561858</v>
      </c>
    </row>
    <row r="541" spans="1:11" hidden="1" x14ac:dyDescent="0.3">
      <c r="A541" s="1">
        <v>46188</v>
      </c>
      <c r="B541" t="s">
        <v>60</v>
      </c>
      <c r="C541" t="s">
        <v>85</v>
      </c>
      <c r="D541" t="s">
        <v>61</v>
      </c>
      <c r="E541">
        <v>28</v>
      </c>
      <c r="F541">
        <v>4</v>
      </c>
      <c r="G541" s="2">
        <v>3.73</v>
      </c>
      <c r="H541">
        <f>16000</f>
        <v>16000</v>
      </c>
      <c r="I541">
        <v>4000</v>
      </c>
      <c r="J541" s="8">
        <f>IF(Tableau3[[#This Row],[prospet]]=0,0,Tableau3[[#This Row],[Ventes]]/Tableau3[[#This Row],[prospet]])</f>
        <v>0.14285714285714285</v>
      </c>
      <c r="K541">
        <v>4587211</v>
      </c>
    </row>
    <row r="542" spans="1:11" hidden="1" x14ac:dyDescent="0.3">
      <c r="A542" s="1">
        <v>46188</v>
      </c>
      <c r="B542" t="s">
        <v>62</v>
      </c>
      <c r="C542" t="s">
        <v>90</v>
      </c>
      <c r="D542" t="s">
        <v>62</v>
      </c>
      <c r="E542">
        <v>36</v>
      </c>
      <c r="F542">
        <v>4</v>
      </c>
      <c r="G542" s="2">
        <v>2.58</v>
      </c>
      <c r="H542">
        <f>24000+8000</f>
        <v>32000</v>
      </c>
      <c r="I542">
        <f>5000+2000</f>
        <v>7000</v>
      </c>
      <c r="J542" s="8">
        <f>IF(Tableau3[[#This Row],[prospet]]=0,0,Tableau3[[#This Row],[Ventes]]/Tableau3[[#This Row],[prospet]])</f>
        <v>0.1111111111111111</v>
      </c>
      <c r="K542">
        <v>4221767</v>
      </c>
    </row>
    <row r="543" spans="1:11" hidden="1" x14ac:dyDescent="0.3">
      <c r="A543" s="1">
        <v>46188</v>
      </c>
      <c r="B543" t="s">
        <v>63</v>
      </c>
      <c r="C543" t="s">
        <v>91</v>
      </c>
      <c r="D543" t="s">
        <v>154</v>
      </c>
      <c r="E543">
        <v>12</v>
      </c>
      <c r="G543" s="2">
        <v>2.42</v>
      </c>
      <c r="J543" s="8">
        <f>IF(Tableau3[[#This Row],[prospet]]=0,0,Tableau3[[#This Row],[Ventes]]/Tableau3[[#This Row],[prospet]])</f>
        <v>0</v>
      </c>
      <c r="K543">
        <v>4463888</v>
      </c>
    </row>
    <row r="544" spans="1:11" hidden="1" x14ac:dyDescent="0.3">
      <c r="A544" s="1">
        <v>46188</v>
      </c>
      <c r="B544" t="s">
        <v>64</v>
      </c>
      <c r="C544" t="s">
        <v>29</v>
      </c>
      <c r="D544" t="s">
        <v>64</v>
      </c>
      <c r="J544" s="8">
        <f>IF(Tableau3[[#This Row],[prospet]]=0,0,Tableau3[[#This Row],[Ventes]]/Tableau3[[#This Row],[prospet]])</f>
        <v>0</v>
      </c>
      <c r="K544">
        <v>4080782</v>
      </c>
    </row>
    <row r="545" spans="1:11" hidden="1" x14ac:dyDescent="0.3">
      <c r="A545" s="1">
        <v>46188</v>
      </c>
      <c r="B545" t="s">
        <v>81</v>
      </c>
      <c r="C545" t="s">
        <v>92</v>
      </c>
      <c r="D545" t="s">
        <v>81</v>
      </c>
      <c r="E545">
        <v>30</v>
      </c>
      <c r="F545">
        <v>2</v>
      </c>
      <c r="G545" s="2">
        <v>2.68</v>
      </c>
      <c r="H545">
        <f>11000+4000</f>
        <v>15000</v>
      </c>
      <c r="I545">
        <f>1000+1500</f>
        <v>2500</v>
      </c>
      <c r="J545" s="8">
        <f>IF(Tableau3[[#This Row],[prospet]]=0,0,Tableau3[[#This Row],[Ventes]]/Tableau3[[#This Row],[prospet]])</f>
        <v>6.6666666666666666E-2</v>
      </c>
      <c r="K545">
        <v>4559847</v>
      </c>
    </row>
    <row r="546" spans="1:11" hidden="1" x14ac:dyDescent="0.3">
      <c r="A546" s="1">
        <v>46188</v>
      </c>
      <c r="B546" t="s">
        <v>82</v>
      </c>
      <c r="C546" t="s">
        <v>11</v>
      </c>
      <c r="D546" t="s">
        <v>82</v>
      </c>
      <c r="E546">
        <v>24</v>
      </c>
      <c r="G546" s="2">
        <v>2.4300000000000002</v>
      </c>
      <c r="J546" s="8">
        <f>IF(Tableau3[[#This Row],[prospet]]=0,0,Tableau3[[#This Row],[Ventes]]/Tableau3[[#This Row],[prospet]])</f>
        <v>0</v>
      </c>
      <c r="K546">
        <v>4541035</v>
      </c>
    </row>
    <row r="547" spans="1:11" hidden="1" x14ac:dyDescent="0.3">
      <c r="A547" s="1">
        <v>46188</v>
      </c>
      <c r="B547" t="s">
        <v>97</v>
      </c>
      <c r="C547" t="s">
        <v>93</v>
      </c>
      <c r="D547" t="s">
        <v>97</v>
      </c>
      <c r="E547">
        <v>32</v>
      </c>
      <c r="F547">
        <v>5</v>
      </c>
      <c r="G547" s="2">
        <v>2.67</v>
      </c>
      <c r="H547">
        <f>11000+12000+12500</f>
        <v>35500</v>
      </c>
      <c r="I547">
        <f>2500+3000+2500</f>
        <v>8000</v>
      </c>
      <c r="J547" s="8">
        <f>IF(Tableau3[[#This Row],[prospet]]=0,0,Tableau3[[#This Row],[Ventes]]/Tableau3[[#This Row],[prospet]])</f>
        <v>0.15625</v>
      </c>
      <c r="K547">
        <v>4636761</v>
      </c>
    </row>
    <row r="548" spans="1:11" hidden="1" x14ac:dyDescent="0.3">
      <c r="A548" s="1">
        <v>46188</v>
      </c>
      <c r="B548" t="s">
        <v>80</v>
      </c>
      <c r="C548" t="s">
        <v>94</v>
      </c>
      <c r="D548" t="s">
        <v>155</v>
      </c>
      <c r="E548">
        <v>35</v>
      </c>
      <c r="F548">
        <v>1</v>
      </c>
      <c r="G548" s="2">
        <v>3.63</v>
      </c>
      <c r="H548">
        <v>15000</v>
      </c>
      <c r="I548">
        <v>2500</v>
      </c>
      <c r="J548" s="8">
        <f>IF(Tableau3[[#This Row],[prospet]]=0,0,Tableau3[[#This Row],[Ventes]]/Tableau3[[#This Row],[prospet]])</f>
        <v>2.8571428571428571E-2</v>
      </c>
      <c r="K548">
        <v>4636772</v>
      </c>
    </row>
    <row r="549" spans="1:11" hidden="1" x14ac:dyDescent="0.3">
      <c r="A549" s="1">
        <v>46188</v>
      </c>
      <c r="B549" t="s">
        <v>83</v>
      </c>
      <c r="C549" t="s">
        <v>95</v>
      </c>
      <c r="D549" t="s">
        <v>83</v>
      </c>
      <c r="E549">
        <v>75</v>
      </c>
      <c r="G549" s="2">
        <v>1.62</v>
      </c>
      <c r="J549" s="8">
        <f>IF(Tableau3[[#This Row],[prospet]]=0,0,Tableau3[[#This Row],[Ventes]]/Tableau3[[#This Row],[prospet]])</f>
        <v>0</v>
      </c>
      <c r="K549">
        <v>3947053</v>
      </c>
    </row>
    <row r="550" spans="1:11" hidden="1" x14ac:dyDescent="0.3">
      <c r="A550" s="1">
        <v>46188</v>
      </c>
      <c r="B550" t="s">
        <v>84</v>
      </c>
      <c r="C550" t="s">
        <v>96</v>
      </c>
      <c r="D550" t="s">
        <v>84</v>
      </c>
      <c r="E550">
        <v>21</v>
      </c>
      <c r="F550">
        <v>1</v>
      </c>
      <c r="G550" s="2">
        <v>2.1</v>
      </c>
      <c r="H550">
        <v>4000</v>
      </c>
      <c r="I550">
        <v>1000</v>
      </c>
      <c r="J550" s="8">
        <f>IF(Tableau3[[#This Row],[prospet]]=0,0,Tableau3[[#This Row],[Ventes]]/Tableau3[[#This Row],[prospet]])</f>
        <v>4.7619047619047616E-2</v>
      </c>
      <c r="K550">
        <v>4587817</v>
      </c>
    </row>
    <row r="551" spans="1:11" hidden="1" x14ac:dyDescent="0.3">
      <c r="A551" s="1">
        <v>46188</v>
      </c>
      <c r="B551" t="s">
        <v>98</v>
      </c>
      <c r="C551" t="s">
        <v>99</v>
      </c>
      <c r="D551" t="s">
        <v>98</v>
      </c>
      <c r="E551">
        <v>18</v>
      </c>
      <c r="F551">
        <v>1</v>
      </c>
      <c r="G551" s="2">
        <v>2.44</v>
      </c>
      <c r="H551">
        <v>15000</v>
      </c>
      <c r="I551">
        <v>2500</v>
      </c>
      <c r="J551" s="8">
        <f>IF(Tableau3[[#This Row],[prospet]]=0,0,Tableau3[[#This Row],[Ventes]]/Tableau3[[#This Row],[prospet]])</f>
        <v>5.5555555555555552E-2</v>
      </c>
      <c r="K551">
        <v>3330821</v>
      </c>
    </row>
    <row r="552" spans="1:11" hidden="1" x14ac:dyDescent="0.3">
      <c r="A552" s="1">
        <v>46188</v>
      </c>
      <c r="B552" t="s">
        <v>109</v>
      </c>
      <c r="C552" t="s">
        <v>110</v>
      </c>
      <c r="D552" t="s">
        <v>109</v>
      </c>
      <c r="E552">
        <v>28</v>
      </c>
      <c r="G552" s="2">
        <v>2.11</v>
      </c>
      <c r="J552" s="8">
        <f>IF(Tableau3[[#This Row],[prospet]]=0,0,Tableau3[[#This Row],[Ventes]]/Tableau3[[#This Row],[prospet]])</f>
        <v>0</v>
      </c>
      <c r="K552">
        <v>4090831</v>
      </c>
    </row>
    <row r="553" spans="1:11" hidden="1" x14ac:dyDescent="0.3">
      <c r="A553" s="1">
        <v>46188</v>
      </c>
      <c r="B553" t="s">
        <v>111</v>
      </c>
      <c r="C553" t="s">
        <v>138</v>
      </c>
      <c r="D553" t="s">
        <v>115</v>
      </c>
      <c r="E553">
        <v>25</v>
      </c>
      <c r="F553">
        <f>6</f>
        <v>6</v>
      </c>
      <c r="G553" s="2">
        <v>2.3199999999999998</v>
      </c>
      <c r="H553">
        <f>12500+5000+20000+4000+12500+5000</f>
        <v>59000</v>
      </c>
      <c r="I553">
        <f>1000+1500+1000+2000+1000+1500</f>
        <v>8000</v>
      </c>
      <c r="J553" s="8">
        <f>IF(Tableau3[[#This Row],[prospet]]=0,0,Tableau3[[#This Row],[Ventes]]/Tableau3[[#This Row],[prospet]])</f>
        <v>0.24</v>
      </c>
      <c r="K553">
        <v>4209873</v>
      </c>
    </row>
    <row r="554" spans="1:11" hidden="1" x14ac:dyDescent="0.3">
      <c r="A554" s="1">
        <v>46188</v>
      </c>
      <c r="B554" t="s">
        <v>112</v>
      </c>
      <c r="C554" t="s">
        <v>138</v>
      </c>
      <c r="D554" t="s">
        <v>113</v>
      </c>
      <c r="E554">
        <v>22</v>
      </c>
      <c r="G554" s="2">
        <v>2.7</v>
      </c>
      <c r="J554" s="8">
        <f>IF(Tableau3[[#This Row],[prospet]]=0,0,Tableau3[[#This Row],[Ventes]]/Tableau3[[#This Row],[prospet]])</f>
        <v>0</v>
      </c>
      <c r="K554">
        <v>4937885</v>
      </c>
    </row>
    <row r="555" spans="1:11" hidden="1" x14ac:dyDescent="0.3">
      <c r="A555" s="1">
        <v>46189</v>
      </c>
      <c r="B555" t="s">
        <v>16</v>
      </c>
      <c r="C555" t="s">
        <v>85</v>
      </c>
      <c r="D555" t="s">
        <v>18</v>
      </c>
      <c r="E555">
        <v>20</v>
      </c>
      <c r="F555">
        <v>3</v>
      </c>
      <c r="G555" s="2">
        <v>2.2200000000000002</v>
      </c>
      <c r="H555">
        <f>4000+25000</f>
        <v>29000</v>
      </c>
      <c r="I555">
        <f>4000</f>
        <v>4000</v>
      </c>
      <c r="J555" s="8">
        <f>IF(Tableau3[[#This Row],[prospet]]=0,0,Tableau3[[#This Row],[Ventes]]/Tableau3[[#This Row],[prospet]])</f>
        <v>0.15</v>
      </c>
      <c r="K555">
        <v>4316190</v>
      </c>
    </row>
    <row r="556" spans="1:11" hidden="1" x14ac:dyDescent="0.3">
      <c r="A556" s="1">
        <v>46189</v>
      </c>
      <c r="B556" t="s">
        <v>9</v>
      </c>
      <c r="C556" t="s">
        <v>86</v>
      </c>
      <c r="D556" t="s">
        <v>13</v>
      </c>
      <c r="E556">
        <v>26</v>
      </c>
      <c r="F556">
        <v>2</v>
      </c>
      <c r="G556" s="2">
        <v>2.2000000000000002</v>
      </c>
      <c r="H556">
        <f>4000+5000</f>
        <v>9000</v>
      </c>
      <c r="I556">
        <v>2000</v>
      </c>
      <c r="J556" s="8">
        <f>IF(Tableau3[[#This Row],[prospet]]=0,0,Tableau3[[#This Row],[Ventes]]/Tableau3[[#This Row],[prospet]])</f>
        <v>7.6923076923076927E-2</v>
      </c>
      <c r="K556">
        <v>4554529</v>
      </c>
    </row>
    <row r="557" spans="1:11" hidden="1" x14ac:dyDescent="0.3">
      <c r="A557" s="1">
        <v>46189</v>
      </c>
      <c r="B557" t="s">
        <v>43</v>
      </c>
      <c r="C557" t="s">
        <v>11</v>
      </c>
      <c r="D557" t="s">
        <v>43</v>
      </c>
      <c r="J557" s="8">
        <f>IF(Tableau3[[#This Row],[prospet]]=0,0,Tableau3[[#This Row],[Ventes]]/Tableau3[[#This Row],[prospet]])</f>
        <v>0</v>
      </c>
      <c r="K557">
        <v>4348553</v>
      </c>
    </row>
    <row r="558" spans="1:11" hidden="1" x14ac:dyDescent="0.3">
      <c r="A558" s="1">
        <v>46189</v>
      </c>
      <c r="B558" t="s">
        <v>30</v>
      </c>
      <c r="C558" t="s">
        <v>88</v>
      </c>
      <c r="D558" t="s">
        <v>30</v>
      </c>
      <c r="J558" s="8">
        <f>IF(Tableau3[[#This Row],[prospet]]=0,0,Tableau3[[#This Row],[Ventes]]/Tableau3[[#This Row],[prospet]])</f>
        <v>0</v>
      </c>
      <c r="K558">
        <v>4586158</v>
      </c>
    </row>
    <row r="559" spans="1:11" hidden="1" x14ac:dyDescent="0.3">
      <c r="A559" s="1">
        <v>46189</v>
      </c>
      <c r="B559" t="s">
        <v>3</v>
      </c>
      <c r="C559" t="s">
        <v>89</v>
      </c>
      <c r="D559" t="s">
        <v>3</v>
      </c>
      <c r="F559">
        <v>2</v>
      </c>
      <c r="H559">
        <f>4000+30000</f>
        <v>34000</v>
      </c>
      <c r="I559">
        <f>1000+3000</f>
        <v>4000</v>
      </c>
      <c r="J559" s="8">
        <f>IF(Tableau3[[#This Row],[prospet]]=0,0,Tableau3[[#This Row],[Ventes]]/Tableau3[[#This Row],[prospet]])</f>
        <v>0</v>
      </c>
      <c r="K559">
        <v>4561858</v>
      </c>
    </row>
    <row r="560" spans="1:11" hidden="1" x14ac:dyDescent="0.3">
      <c r="A560" s="1">
        <v>46189</v>
      </c>
      <c r="B560" t="s">
        <v>60</v>
      </c>
      <c r="C560" t="s">
        <v>85</v>
      </c>
      <c r="D560" t="s">
        <v>61</v>
      </c>
      <c r="F560">
        <v>2</v>
      </c>
      <c r="H560">
        <v>8000</v>
      </c>
      <c r="I560">
        <v>2000</v>
      </c>
      <c r="J560" s="8">
        <f>IF(Tableau3[[#This Row],[prospet]]=0,0,Tableau3[[#This Row],[Ventes]]/Tableau3[[#This Row],[prospet]])</f>
        <v>0</v>
      </c>
      <c r="K560">
        <v>4587211</v>
      </c>
    </row>
    <row r="561" spans="1:11" hidden="1" x14ac:dyDescent="0.3">
      <c r="A561" s="1">
        <v>46189</v>
      </c>
      <c r="B561" t="s">
        <v>62</v>
      </c>
      <c r="C561" t="s">
        <v>90</v>
      </c>
      <c r="D561" t="s">
        <v>62</v>
      </c>
      <c r="F561">
        <v>3</v>
      </c>
      <c r="H561">
        <f>4000+12500+4000</f>
        <v>20500</v>
      </c>
      <c r="I561">
        <f>1500+1000+500</f>
        <v>3000</v>
      </c>
      <c r="J561" s="8">
        <f>IF(Tableau3[[#This Row],[prospet]]=0,0,Tableau3[[#This Row],[Ventes]]/Tableau3[[#This Row],[prospet]])</f>
        <v>0</v>
      </c>
      <c r="K561">
        <v>4221767</v>
      </c>
    </row>
    <row r="562" spans="1:11" hidden="1" x14ac:dyDescent="0.3">
      <c r="A562" s="1">
        <v>46189</v>
      </c>
      <c r="B562" t="s">
        <v>63</v>
      </c>
      <c r="C562" t="s">
        <v>91</v>
      </c>
      <c r="D562" t="s">
        <v>154</v>
      </c>
      <c r="E562">
        <v>10</v>
      </c>
      <c r="G562" s="2">
        <v>1.98</v>
      </c>
      <c r="J562" s="8">
        <f>IF(Tableau3[[#This Row],[prospet]]=0,0,Tableau3[[#This Row],[Ventes]]/Tableau3[[#This Row],[prospet]])</f>
        <v>0</v>
      </c>
      <c r="K562">
        <v>4463888</v>
      </c>
    </row>
    <row r="563" spans="1:11" hidden="1" x14ac:dyDescent="0.3">
      <c r="A563" s="1">
        <v>46189</v>
      </c>
      <c r="B563" t="s">
        <v>64</v>
      </c>
      <c r="C563" t="s">
        <v>29</v>
      </c>
      <c r="D563" t="s">
        <v>64</v>
      </c>
      <c r="J563" s="8">
        <f>IF(Tableau3[[#This Row],[prospet]]=0,0,Tableau3[[#This Row],[Ventes]]/Tableau3[[#This Row],[prospet]])</f>
        <v>0</v>
      </c>
      <c r="K563">
        <v>4080782</v>
      </c>
    </row>
    <row r="564" spans="1:11" hidden="1" x14ac:dyDescent="0.3">
      <c r="A564" s="1">
        <v>46189</v>
      </c>
      <c r="B564" t="s">
        <v>81</v>
      </c>
      <c r="C564" t="s">
        <v>92</v>
      </c>
      <c r="D564" t="s">
        <v>81</v>
      </c>
      <c r="E564">
        <v>20</v>
      </c>
      <c r="G564" s="2">
        <v>1.82</v>
      </c>
      <c r="J564" s="8">
        <f>IF(Tableau3[[#This Row],[prospet]]=0,0,Tableau3[[#This Row],[Ventes]]/Tableau3[[#This Row],[prospet]])</f>
        <v>0</v>
      </c>
      <c r="K564">
        <v>4559847</v>
      </c>
    </row>
    <row r="565" spans="1:11" hidden="1" x14ac:dyDescent="0.3">
      <c r="A565" s="1">
        <v>46189</v>
      </c>
      <c r="B565" t="s">
        <v>82</v>
      </c>
      <c r="C565" t="s">
        <v>11</v>
      </c>
      <c r="D565" t="s">
        <v>82</v>
      </c>
      <c r="J565" s="8">
        <f>IF(Tableau3[[#This Row],[prospet]]=0,0,Tableau3[[#This Row],[Ventes]]/Tableau3[[#This Row],[prospet]])</f>
        <v>0</v>
      </c>
      <c r="K565">
        <v>4541035</v>
      </c>
    </row>
    <row r="566" spans="1:11" hidden="1" x14ac:dyDescent="0.3">
      <c r="A566" s="1">
        <v>46189</v>
      </c>
      <c r="B566" t="s">
        <v>97</v>
      </c>
      <c r="C566" t="s">
        <v>93</v>
      </c>
      <c r="D566" t="s">
        <v>97</v>
      </c>
      <c r="E566">
        <v>9</v>
      </c>
      <c r="G566" s="2">
        <v>1.89</v>
      </c>
      <c r="J566" s="8">
        <f>IF(Tableau3[[#This Row],[prospet]]=0,0,Tableau3[[#This Row],[Ventes]]/Tableau3[[#This Row],[prospet]])</f>
        <v>0</v>
      </c>
      <c r="K566">
        <v>4636761</v>
      </c>
    </row>
    <row r="567" spans="1:11" hidden="1" x14ac:dyDescent="0.3">
      <c r="A567" s="1">
        <v>46189</v>
      </c>
      <c r="B567" t="s">
        <v>80</v>
      </c>
      <c r="C567" t="s">
        <v>94</v>
      </c>
      <c r="D567" t="s">
        <v>155</v>
      </c>
      <c r="E567">
        <v>24</v>
      </c>
      <c r="F567">
        <v>4</v>
      </c>
      <c r="G567" s="2">
        <v>1.44</v>
      </c>
      <c r="H567">
        <f>12500+12500+12500+4000</f>
        <v>41500</v>
      </c>
      <c r="I567">
        <f>2500+1500+2500+1000</f>
        <v>7500</v>
      </c>
      <c r="J567" s="8">
        <f>IF(Tableau3[[#This Row],[prospet]]=0,0,Tableau3[[#This Row],[Ventes]]/Tableau3[[#This Row],[prospet]])</f>
        <v>0.16666666666666666</v>
      </c>
      <c r="K567">
        <v>4636772</v>
      </c>
    </row>
    <row r="568" spans="1:11" hidden="1" x14ac:dyDescent="0.3">
      <c r="A568" s="1">
        <v>46189</v>
      </c>
      <c r="B568" t="s">
        <v>83</v>
      </c>
      <c r="C568" t="s">
        <v>95</v>
      </c>
      <c r="D568" t="s">
        <v>83</v>
      </c>
      <c r="E568">
        <v>9</v>
      </c>
      <c r="G568" s="2">
        <v>2.02</v>
      </c>
      <c r="J568" s="8">
        <f>IF(Tableau3[[#This Row],[prospet]]=0,0,Tableau3[[#This Row],[Ventes]]/Tableau3[[#This Row],[prospet]])</f>
        <v>0</v>
      </c>
      <c r="K568">
        <v>3947053</v>
      </c>
    </row>
    <row r="569" spans="1:11" hidden="1" x14ac:dyDescent="0.3">
      <c r="A569" s="1">
        <v>46189</v>
      </c>
      <c r="B569" t="s">
        <v>84</v>
      </c>
      <c r="C569" t="s">
        <v>96</v>
      </c>
      <c r="D569" t="s">
        <v>84</v>
      </c>
      <c r="F569">
        <v>1</v>
      </c>
      <c r="H569">
        <v>4000</v>
      </c>
      <c r="I569">
        <v>1000</v>
      </c>
      <c r="J569" s="8">
        <f>IF(Tableau3[[#This Row],[prospet]]=0,0,Tableau3[[#This Row],[Ventes]]/Tableau3[[#This Row],[prospet]])</f>
        <v>0</v>
      </c>
      <c r="K569">
        <v>4587817</v>
      </c>
    </row>
    <row r="570" spans="1:11" hidden="1" x14ac:dyDescent="0.3">
      <c r="A570" s="1">
        <v>46189</v>
      </c>
      <c r="B570" t="s">
        <v>98</v>
      </c>
      <c r="C570" t="s">
        <v>99</v>
      </c>
      <c r="D570" t="s">
        <v>98</v>
      </c>
      <c r="F570">
        <v>1</v>
      </c>
      <c r="H570">
        <v>8500</v>
      </c>
      <c r="I570">
        <v>2500</v>
      </c>
      <c r="J570" s="8">
        <f>IF(Tableau3[[#This Row],[prospet]]=0,0,Tableau3[[#This Row],[Ventes]]/Tableau3[[#This Row],[prospet]])</f>
        <v>0</v>
      </c>
      <c r="K570">
        <v>3330821</v>
      </c>
    </row>
    <row r="571" spans="1:11" hidden="1" x14ac:dyDescent="0.3">
      <c r="A571" s="1">
        <v>46189</v>
      </c>
      <c r="B571" t="s">
        <v>109</v>
      </c>
      <c r="C571" t="s">
        <v>110</v>
      </c>
      <c r="D571" t="s">
        <v>109</v>
      </c>
      <c r="J571" s="8">
        <f>IF(Tableau3[[#This Row],[prospet]]=0,0,Tableau3[[#This Row],[Ventes]]/Tableau3[[#This Row],[prospet]])</f>
        <v>0</v>
      </c>
      <c r="K571">
        <v>4090831</v>
      </c>
    </row>
    <row r="572" spans="1:11" hidden="1" x14ac:dyDescent="0.3">
      <c r="A572" s="1">
        <v>46189</v>
      </c>
      <c r="B572" t="s">
        <v>111</v>
      </c>
      <c r="C572" t="s">
        <v>138</v>
      </c>
      <c r="D572" t="s">
        <v>115</v>
      </c>
      <c r="F572">
        <v>2</v>
      </c>
      <c r="H572">
        <f>4000+17500</f>
        <v>21500</v>
      </c>
      <c r="I572">
        <f>1000+3000</f>
        <v>4000</v>
      </c>
      <c r="J572" s="8">
        <f>IF(Tableau3[[#This Row],[prospet]]=0,0,Tableau3[[#This Row],[Ventes]]/Tableau3[[#This Row],[prospet]])</f>
        <v>0</v>
      </c>
      <c r="K572">
        <v>4209873</v>
      </c>
    </row>
    <row r="573" spans="1:11" hidden="1" x14ac:dyDescent="0.3">
      <c r="A573" s="1">
        <v>46189</v>
      </c>
      <c r="B573" t="s">
        <v>112</v>
      </c>
      <c r="C573" t="s">
        <v>138</v>
      </c>
      <c r="D573" t="s">
        <v>113</v>
      </c>
      <c r="F573">
        <v>1</v>
      </c>
      <c r="H573">
        <v>4000</v>
      </c>
      <c r="I573">
        <v>1000</v>
      </c>
      <c r="J573" s="8">
        <f>IF(Tableau3[[#This Row],[prospet]]=0,0,Tableau3[[#This Row],[Ventes]]/Tableau3[[#This Row],[prospet]])</f>
        <v>0</v>
      </c>
      <c r="K573">
        <v>4937885</v>
      </c>
    </row>
    <row r="574" spans="1:11" hidden="1" x14ac:dyDescent="0.3">
      <c r="A574" s="1">
        <v>46190</v>
      </c>
      <c r="B574" t="s">
        <v>16</v>
      </c>
      <c r="C574" t="s">
        <v>85</v>
      </c>
      <c r="D574" t="s">
        <v>18</v>
      </c>
      <c r="E574">
        <v>33</v>
      </c>
      <c r="G574" s="2">
        <v>2.4300000000000002</v>
      </c>
      <c r="J574" s="8">
        <f>IF(Tableau3[[#This Row],[prospet]]=0,0,Tableau3[[#This Row],[Ventes]]/Tableau3[[#This Row],[prospet]])</f>
        <v>0</v>
      </c>
      <c r="K574">
        <v>4316190</v>
      </c>
    </row>
    <row r="575" spans="1:11" hidden="1" x14ac:dyDescent="0.3">
      <c r="A575" s="1">
        <v>46190</v>
      </c>
      <c r="B575" t="s">
        <v>9</v>
      </c>
      <c r="C575" t="s">
        <v>86</v>
      </c>
      <c r="D575" t="s">
        <v>13</v>
      </c>
      <c r="E575">
        <v>58</v>
      </c>
      <c r="G575" s="2">
        <v>2.15</v>
      </c>
      <c r="J575" s="8">
        <f>IF(Tableau3[[#This Row],[prospet]]=0,0,Tableau3[[#This Row],[Ventes]]/Tableau3[[#This Row],[prospet]])</f>
        <v>0</v>
      </c>
      <c r="K575">
        <v>4554529</v>
      </c>
    </row>
    <row r="576" spans="1:11" hidden="1" x14ac:dyDescent="0.3">
      <c r="A576" s="1">
        <v>46190</v>
      </c>
      <c r="B576" t="s">
        <v>43</v>
      </c>
      <c r="C576" t="s">
        <v>11</v>
      </c>
      <c r="D576" t="s">
        <v>43</v>
      </c>
      <c r="E576">
        <v>77</v>
      </c>
      <c r="G576" s="2">
        <v>3.09</v>
      </c>
      <c r="J576" s="8">
        <f>IF(Tableau3[[#This Row],[prospet]]=0,0,Tableau3[[#This Row],[Ventes]]/Tableau3[[#This Row],[prospet]])</f>
        <v>0</v>
      </c>
      <c r="K576">
        <v>4348553</v>
      </c>
    </row>
    <row r="577" spans="1:11" hidden="1" x14ac:dyDescent="0.3">
      <c r="A577" s="1">
        <v>46190</v>
      </c>
      <c r="B577" t="s">
        <v>30</v>
      </c>
      <c r="C577" t="s">
        <v>88</v>
      </c>
      <c r="D577" t="s">
        <v>30</v>
      </c>
      <c r="E577">
        <v>34</v>
      </c>
      <c r="G577" s="2">
        <v>3.61</v>
      </c>
      <c r="J577" s="8">
        <f>IF(Tableau3[[#This Row],[prospet]]=0,0,Tableau3[[#This Row],[Ventes]]/Tableau3[[#This Row],[prospet]])</f>
        <v>0</v>
      </c>
      <c r="K577">
        <v>4586158</v>
      </c>
    </row>
    <row r="578" spans="1:11" hidden="1" x14ac:dyDescent="0.3">
      <c r="A578" s="1">
        <v>46190</v>
      </c>
      <c r="B578" t="s">
        <v>3</v>
      </c>
      <c r="C578" t="s">
        <v>89</v>
      </c>
      <c r="D578" t="s">
        <v>3</v>
      </c>
      <c r="E578">
        <v>15</v>
      </c>
      <c r="G578" s="2">
        <v>2.97</v>
      </c>
      <c r="J578" s="8">
        <f>IF(Tableau3[[#This Row],[prospet]]=0,0,Tableau3[[#This Row],[Ventes]]/Tableau3[[#This Row],[prospet]])</f>
        <v>0</v>
      </c>
      <c r="K578">
        <v>4561858</v>
      </c>
    </row>
    <row r="579" spans="1:11" hidden="1" x14ac:dyDescent="0.3">
      <c r="A579" s="1">
        <v>46190</v>
      </c>
      <c r="B579" t="s">
        <v>60</v>
      </c>
      <c r="C579" t="s">
        <v>85</v>
      </c>
      <c r="D579" t="s">
        <v>61</v>
      </c>
      <c r="E579">
        <v>21</v>
      </c>
      <c r="G579" s="2">
        <v>2.95</v>
      </c>
      <c r="J579" s="8">
        <f>IF(Tableau3[[#This Row],[prospet]]=0,0,Tableau3[[#This Row],[Ventes]]/Tableau3[[#This Row],[prospet]])</f>
        <v>0</v>
      </c>
      <c r="K579">
        <v>4587211</v>
      </c>
    </row>
    <row r="580" spans="1:11" hidden="1" x14ac:dyDescent="0.3">
      <c r="A580" s="1">
        <v>46190</v>
      </c>
      <c r="B580" t="s">
        <v>62</v>
      </c>
      <c r="C580" t="s">
        <v>90</v>
      </c>
      <c r="D580" t="s">
        <v>62</v>
      </c>
      <c r="E580">
        <v>26</v>
      </c>
      <c r="G580" s="2">
        <v>3</v>
      </c>
      <c r="J580" s="8">
        <f>IF(Tableau3[[#This Row],[prospet]]=0,0,Tableau3[[#This Row],[Ventes]]/Tableau3[[#This Row],[prospet]])</f>
        <v>0</v>
      </c>
      <c r="K580">
        <v>4221767</v>
      </c>
    </row>
    <row r="581" spans="1:11" hidden="1" x14ac:dyDescent="0.3">
      <c r="A581" s="1">
        <v>46190</v>
      </c>
      <c r="B581" t="s">
        <v>63</v>
      </c>
      <c r="C581" t="s">
        <v>91</v>
      </c>
      <c r="D581" t="s">
        <v>154</v>
      </c>
      <c r="E581">
        <v>16</v>
      </c>
      <c r="G581" s="2">
        <v>2.38</v>
      </c>
      <c r="J581" s="8">
        <f>IF(Tableau3[[#This Row],[prospet]]=0,0,Tableau3[[#This Row],[Ventes]]/Tableau3[[#This Row],[prospet]])</f>
        <v>0</v>
      </c>
      <c r="K581">
        <v>4463888</v>
      </c>
    </row>
    <row r="582" spans="1:11" hidden="1" x14ac:dyDescent="0.3">
      <c r="A582" s="1">
        <v>46190</v>
      </c>
      <c r="B582" t="s">
        <v>64</v>
      </c>
      <c r="C582" t="s">
        <v>29</v>
      </c>
      <c r="D582" t="s">
        <v>64</v>
      </c>
      <c r="J582" s="8">
        <f>IF(Tableau3[[#This Row],[prospet]]=0,0,Tableau3[[#This Row],[Ventes]]/Tableau3[[#This Row],[prospet]])</f>
        <v>0</v>
      </c>
      <c r="K582">
        <v>4080782</v>
      </c>
    </row>
    <row r="583" spans="1:11" hidden="1" x14ac:dyDescent="0.3">
      <c r="A583" s="1">
        <v>46190</v>
      </c>
      <c r="B583" t="s">
        <v>81</v>
      </c>
      <c r="C583" t="s">
        <v>92</v>
      </c>
      <c r="D583" t="s">
        <v>81</v>
      </c>
      <c r="E583">
        <v>43</v>
      </c>
      <c r="G583" s="2">
        <v>2.86</v>
      </c>
      <c r="J583" s="8">
        <f>IF(Tableau3[[#This Row],[prospet]]=0,0,Tableau3[[#This Row],[Ventes]]/Tableau3[[#This Row],[prospet]])</f>
        <v>0</v>
      </c>
      <c r="K583">
        <v>4559847</v>
      </c>
    </row>
    <row r="584" spans="1:11" hidden="1" x14ac:dyDescent="0.3">
      <c r="A584" s="1">
        <v>46190</v>
      </c>
      <c r="B584" t="s">
        <v>82</v>
      </c>
      <c r="C584" t="s">
        <v>11</v>
      </c>
      <c r="D584" t="s">
        <v>82</v>
      </c>
      <c r="E584">
        <v>17</v>
      </c>
      <c r="G584" s="2">
        <v>2.38</v>
      </c>
      <c r="J584" s="8">
        <f>IF(Tableau3[[#This Row],[prospet]]=0,0,Tableau3[[#This Row],[Ventes]]/Tableau3[[#This Row],[prospet]])</f>
        <v>0</v>
      </c>
      <c r="K584">
        <v>4541035</v>
      </c>
    </row>
    <row r="585" spans="1:11" hidden="1" x14ac:dyDescent="0.3">
      <c r="A585" s="1">
        <v>46190</v>
      </c>
      <c r="B585" t="s">
        <v>97</v>
      </c>
      <c r="C585" t="s">
        <v>93</v>
      </c>
      <c r="D585" t="s">
        <v>97</v>
      </c>
      <c r="E585">
        <v>32</v>
      </c>
      <c r="G585" s="2">
        <v>2.5499999999999998</v>
      </c>
      <c r="J585" s="8">
        <f>IF(Tableau3[[#This Row],[prospet]]=0,0,Tableau3[[#This Row],[Ventes]]/Tableau3[[#This Row],[prospet]])</f>
        <v>0</v>
      </c>
      <c r="K585">
        <v>4636761</v>
      </c>
    </row>
    <row r="586" spans="1:11" hidden="1" x14ac:dyDescent="0.3">
      <c r="A586" s="1">
        <v>46190</v>
      </c>
      <c r="B586" t="s">
        <v>80</v>
      </c>
      <c r="C586" t="s">
        <v>94</v>
      </c>
      <c r="D586" t="s">
        <v>155</v>
      </c>
      <c r="E586">
        <v>25</v>
      </c>
      <c r="G586" s="2">
        <v>1.8</v>
      </c>
      <c r="J586" s="8">
        <f>IF(Tableau3[[#This Row],[prospet]]=0,0,Tableau3[[#This Row],[Ventes]]/Tableau3[[#This Row],[prospet]])</f>
        <v>0</v>
      </c>
      <c r="K586">
        <v>4636772</v>
      </c>
    </row>
    <row r="587" spans="1:11" hidden="1" x14ac:dyDescent="0.3">
      <c r="A587" s="1">
        <v>46190</v>
      </c>
      <c r="B587" t="s">
        <v>83</v>
      </c>
      <c r="C587" t="s">
        <v>95</v>
      </c>
      <c r="D587" t="s">
        <v>83</v>
      </c>
      <c r="E587">
        <v>26</v>
      </c>
      <c r="G587" s="2">
        <v>2.2599999999999998</v>
      </c>
      <c r="J587" s="8">
        <f>IF(Tableau3[[#This Row],[prospet]]=0,0,Tableau3[[#This Row],[Ventes]]/Tableau3[[#This Row],[prospet]])</f>
        <v>0</v>
      </c>
      <c r="K587">
        <v>3947053</v>
      </c>
    </row>
    <row r="588" spans="1:11" hidden="1" x14ac:dyDescent="0.3">
      <c r="A588" s="1">
        <v>46190</v>
      </c>
      <c r="B588" t="s">
        <v>84</v>
      </c>
      <c r="C588" t="s">
        <v>96</v>
      </c>
      <c r="D588" t="s">
        <v>84</v>
      </c>
      <c r="E588">
        <v>38</v>
      </c>
      <c r="G588" s="2">
        <v>3.64</v>
      </c>
      <c r="J588" s="8">
        <f>IF(Tableau3[[#This Row],[prospet]]=0,0,Tableau3[[#This Row],[Ventes]]/Tableau3[[#This Row],[prospet]])</f>
        <v>0</v>
      </c>
      <c r="K588">
        <v>4587817</v>
      </c>
    </row>
    <row r="589" spans="1:11" hidden="1" x14ac:dyDescent="0.3">
      <c r="A589" s="1">
        <v>46190</v>
      </c>
      <c r="B589" t="s">
        <v>98</v>
      </c>
      <c r="C589" t="s">
        <v>99</v>
      </c>
      <c r="D589" t="s">
        <v>98</v>
      </c>
      <c r="E589">
        <v>16</v>
      </c>
      <c r="G589" s="2">
        <v>2.5299999999999998</v>
      </c>
      <c r="J589" s="8">
        <f>IF(Tableau3[[#This Row],[prospet]]=0,0,Tableau3[[#This Row],[Ventes]]/Tableau3[[#This Row],[prospet]])</f>
        <v>0</v>
      </c>
      <c r="K589">
        <v>3330821</v>
      </c>
    </row>
    <row r="590" spans="1:11" hidden="1" x14ac:dyDescent="0.3">
      <c r="A590" s="1">
        <v>46190</v>
      </c>
      <c r="B590" t="s">
        <v>109</v>
      </c>
      <c r="C590" t="s">
        <v>110</v>
      </c>
      <c r="D590" t="s">
        <v>109</v>
      </c>
      <c r="E590">
        <v>30</v>
      </c>
      <c r="G590" s="2">
        <v>2.68</v>
      </c>
      <c r="J590" s="8">
        <f>IF(Tableau3[[#This Row],[prospet]]=0,0,Tableau3[[#This Row],[Ventes]]/Tableau3[[#This Row],[prospet]])</f>
        <v>0</v>
      </c>
      <c r="K590">
        <v>4090831</v>
      </c>
    </row>
    <row r="591" spans="1:11" hidden="1" x14ac:dyDescent="0.3">
      <c r="A591" s="1">
        <v>46190</v>
      </c>
      <c r="B591" t="s">
        <v>111</v>
      </c>
      <c r="C591" t="s">
        <v>138</v>
      </c>
      <c r="D591" t="s">
        <v>115</v>
      </c>
      <c r="E591">
        <v>19</v>
      </c>
      <c r="G591" s="2">
        <v>2.83</v>
      </c>
      <c r="J591" s="8">
        <f>IF(Tableau3[[#This Row],[prospet]]=0,0,Tableau3[[#This Row],[Ventes]]/Tableau3[[#This Row],[prospet]])</f>
        <v>0</v>
      </c>
      <c r="K591">
        <v>4209873</v>
      </c>
    </row>
    <row r="592" spans="1:11" hidden="1" x14ac:dyDescent="0.3">
      <c r="A592" s="1">
        <v>46190</v>
      </c>
      <c r="B592" t="s">
        <v>112</v>
      </c>
      <c r="C592" t="s">
        <v>138</v>
      </c>
      <c r="D592" t="s">
        <v>113</v>
      </c>
      <c r="E592">
        <v>7</v>
      </c>
      <c r="G592" s="2">
        <v>2.89</v>
      </c>
      <c r="J592" s="8">
        <f>IF(Tableau3[[#This Row],[prospet]]=0,0,Tableau3[[#This Row],[Ventes]]/Tableau3[[#This Row],[prospet]])</f>
        <v>0</v>
      </c>
      <c r="K592">
        <v>4937885</v>
      </c>
    </row>
    <row r="593" spans="1:11" hidden="1" x14ac:dyDescent="0.3">
      <c r="A593" s="1">
        <v>46191</v>
      </c>
      <c r="B593" t="s">
        <v>16</v>
      </c>
      <c r="C593" t="s">
        <v>85</v>
      </c>
      <c r="D593" t="s">
        <v>18</v>
      </c>
      <c r="E593">
        <v>28</v>
      </c>
      <c r="F593">
        <v>1</v>
      </c>
      <c r="G593" s="2">
        <v>1.55</v>
      </c>
      <c r="H593">
        <v>4000</v>
      </c>
      <c r="I593">
        <v>1000</v>
      </c>
      <c r="J593" s="8">
        <f>IF(Tableau3[[#This Row],[prospet]]=0,0,Tableau3[[#This Row],[Ventes]]/Tableau3[[#This Row],[prospet]])</f>
        <v>3.5714285714285712E-2</v>
      </c>
      <c r="K593">
        <v>4316190</v>
      </c>
    </row>
    <row r="594" spans="1:11" hidden="1" x14ac:dyDescent="0.3">
      <c r="A594" s="1">
        <v>46191</v>
      </c>
      <c r="B594" t="s">
        <v>9</v>
      </c>
      <c r="C594" t="s">
        <v>86</v>
      </c>
      <c r="D594" t="s">
        <v>13</v>
      </c>
      <c r="E594">
        <v>6</v>
      </c>
      <c r="F594">
        <v>4</v>
      </c>
      <c r="G594" s="2">
        <v>0.17</v>
      </c>
      <c r="H594">
        <f>8000+25000</f>
        <v>33000</v>
      </c>
      <c r="I594">
        <f>2500+2500+2000</f>
        <v>7000</v>
      </c>
      <c r="J594" s="8">
        <f>IF(Tableau3[[#This Row],[prospet]]=0,0,Tableau3[[#This Row],[Ventes]]/Tableau3[[#This Row],[prospet]])</f>
        <v>0.66666666666666663</v>
      </c>
      <c r="K594">
        <v>4554529</v>
      </c>
    </row>
    <row r="595" spans="1:11" hidden="1" x14ac:dyDescent="0.3">
      <c r="A595" s="1">
        <v>46191</v>
      </c>
      <c r="B595" t="s">
        <v>43</v>
      </c>
      <c r="C595" t="s">
        <v>11</v>
      </c>
      <c r="D595" t="s">
        <v>43</v>
      </c>
      <c r="E595">
        <v>3</v>
      </c>
      <c r="F595">
        <v>1</v>
      </c>
      <c r="G595" s="2">
        <v>0</v>
      </c>
      <c r="H595">
        <v>4000</v>
      </c>
      <c r="I595">
        <v>1000</v>
      </c>
      <c r="J595" s="8">
        <f>IF(Tableau3[[#This Row],[prospet]]=0,0,Tableau3[[#This Row],[Ventes]]/Tableau3[[#This Row],[prospet]])</f>
        <v>0.33333333333333331</v>
      </c>
      <c r="K595">
        <v>4348553</v>
      </c>
    </row>
    <row r="596" spans="1:11" hidden="1" x14ac:dyDescent="0.3">
      <c r="A596" s="1">
        <v>46191</v>
      </c>
      <c r="B596" t="s">
        <v>30</v>
      </c>
      <c r="C596" t="s">
        <v>88</v>
      </c>
      <c r="D596" t="s">
        <v>30</v>
      </c>
      <c r="E596">
        <v>18</v>
      </c>
      <c r="F596">
        <v>6</v>
      </c>
      <c r="G596" s="2">
        <v>1.61</v>
      </c>
      <c r="H596">
        <f>25000+12000+12500</f>
        <v>49500</v>
      </c>
      <c r="I596">
        <f>3000+3000+1500</f>
        <v>7500</v>
      </c>
      <c r="J596" s="8">
        <f>IF(Tableau3[[#This Row],[prospet]]=0,0,Tableau3[[#This Row],[Ventes]]/Tableau3[[#This Row],[prospet]])</f>
        <v>0.33333333333333331</v>
      </c>
      <c r="K596">
        <v>4586158</v>
      </c>
    </row>
    <row r="597" spans="1:11" hidden="1" x14ac:dyDescent="0.3">
      <c r="A597" s="1">
        <v>46191</v>
      </c>
      <c r="B597" t="s">
        <v>3</v>
      </c>
      <c r="C597" t="s">
        <v>89</v>
      </c>
      <c r="D597" t="s">
        <v>3</v>
      </c>
      <c r="E597">
        <v>15</v>
      </c>
      <c r="F597">
        <v>1</v>
      </c>
      <c r="G597" s="2">
        <v>2.21</v>
      </c>
      <c r="H597">
        <v>4000</v>
      </c>
      <c r="I597">
        <v>1000</v>
      </c>
      <c r="J597" s="8">
        <f>IF(Tableau3[[#This Row],[prospet]]=0,0,Tableau3[[#This Row],[Ventes]]/Tableau3[[#This Row],[prospet]])</f>
        <v>6.6666666666666666E-2</v>
      </c>
      <c r="K597">
        <v>4561858</v>
      </c>
    </row>
    <row r="598" spans="1:11" hidden="1" x14ac:dyDescent="0.3">
      <c r="A598" s="1">
        <v>46191</v>
      </c>
      <c r="B598" t="s">
        <v>60</v>
      </c>
      <c r="C598" t="s">
        <v>85</v>
      </c>
      <c r="D598" t="s">
        <v>61</v>
      </c>
      <c r="E598">
        <v>27</v>
      </c>
      <c r="G598" s="2">
        <v>2.11</v>
      </c>
      <c r="J598" s="8">
        <f>IF(Tableau3[[#This Row],[prospet]]=0,0,Tableau3[[#This Row],[Ventes]]/Tableau3[[#This Row],[prospet]])</f>
        <v>0</v>
      </c>
      <c r="K598">
        <v>4587211</v>
      </c>
    </row>
    <row r="599" spans="1:11" hidden="1" x14ac:dyDescent="0.3">
      <c r="A599" s="1">
        <v>46191</v>
      </c>
      <c r="B599" t="s">
        <v>62</v>
      </c>
      <c r="C599" t="s">
        <v>90</v>
      </c>
      <c r="D599" t="s">
        <v>62</v>
      </c>
      <c r="E599">
        <v>16</v>
      </c>
      <c r="G599" s="2">
        <v>1.9</v>
      </c>
      <c r="J599" s="8">
        <f>IF(Tableau3[[#This Row],[prospet]]=0,0,Tableau3[[#This Row],[Ventes]]/Tableau3[[#This Row],[prospet]])</f>
        <v>0</v>
      </c>
      <c r="K599">
        <v>4221767</v>
      </c>
    </row>
    <row r="600" spans="1:11" hidden="1" x14ac:dyDescent="0.3">
      <c r="A600" s="1">
        <v>46191</v>
      </c>
      <c r="B600" t="s">
        <v>63</v>
      </c>
      <c r="C600" t="s">
        <v>91</v>
      </c>
      <c r="D600" t="s">
        <v>154</v>
      </c>
      <c r="E600">
        <v>13</v>
      </c>
      <c r="F600">
        <v>5</v>
      </c>
      <c r="G600" s="2">
        <v>1.59</v>
      </c>
      <c r="H600">
        <f>17500+17000+10000+12500</f>
        <v>57000</v>
      </c>
      <c r="I600">
        <f>3500+5000+2500+1500</f>
        <v>12500</v>
      </c>
      <c r="J600" s="8">
        <f>IF(Tableau3[[#This Row],[prospet]]=0,0,Tableau3[[#This Row],[Ventes]]/Tableau3[[#This Row],[prospet]])</f>
        <v>0.38461538461538464</v>
      </c>
      <c r="K600">
        <v>4463888</v>
      </c>
    </row>
    <row r="601" spans="1:11" hidden="1" x14ac:dyDescent="0.3">
      <c r="A601" s="1">
        <v>46191</v>
      </c>
      <c r="B601" t="s">
        <v>64</v>
      </c>
      <c r="C601" t="s">
        <v>29</v>
      </c>
      <c r="D601" t="s">
        <v>64</v>
      </c>
      <c r="J601" s="8">
        <f>IF(Tableau3[[#This Row],[prospet]]=0,0,Tableau3[[#This Row],[Ventes]]/Tableau3[[#This Row],[prospet]])</f>
        <v>0</v>
      </c>
      <c r="K601">
        <v>4080782</v>
      </c>
    </row>
    <row r="602" spans="1:11" hidden="1" x14ac:dyDescent="0.3">
      <c r="A602" s="1">
        <v>46191</v>
      </c>
      <c r="B602" t="s">
        <v>81</v>
      </c>
      <c r="C602" t="s">
        <v>92</v>
      </c>
      <c r="D602" t="s">
        <v>81</v>
      </c>
      <c r="E602">
        <v>11</v>
      </c>
      <c r="F602">
        <v>3</v>
      </c>
      <c r="G602" s="2">
        <v>0.83</v>
      </c>
      <c r="H602">
        <f>4000+25000</f>
        <v>29000</v>
      </c>
      <c r="I602">
        <f>1000+1500+1500</f>
        <v>4000</v>
      </c>
      <c r="J602" s="8">
        <f>IF(Tableau3[[#This Row],[prospet]]=0,0,Tableau3[[#This Row],[Ventes]]/Tableau3[[#This Row],[prospet]])</f>
        <v>0.27272727272727271</v>
      </c>
      <c r="K602">
        <v>4559847</v>
      </c>
    </row>
    <row r="603" spans="1:11" hidden="1" x14ac:dyDescent="0.3">
      <c r="A603" s="1">
        <v>46191</v>
      </c>
      <c r="B603" t="s">
        <v>82</v>
      </c>
      <c r="C603" t="s">
        <v>11</v>
      </c>
      <c r="D603" t="s">
        <v>82</v>
      </c>
      <c r="E603">
        <v>20</v>
      </c>
      <c r="G603" s="2">
        <v>1.87</v>
      </c>
      <c r="J603" s="8">
        <f>IF(Tableau3[[#This Row],[prospet]]=0,0,Tableau3[[#This Row],[Ventes]]/Tableau3[[#This Row],[prospet]])</f>
        <v>0</v>
      </c>
      <c r="K603">
        <v>4541035</v>
      </c>
    </row>
    <row r="604" spans="1:11" hidden="1" x14ac:dyDescent="0.3">
      <c r="A604" s="1">
        <v>46191</v>
      </c>
      <c r="B604" t="s">
        <v>97</v>
      </c>
      <c r="C604" t="s">
        <v>93</v>
      </c>
      <c r="D604" t="s">
        <v>97</v>
      </c>
      <c r="E604">
        <v>13</v>
      </c>
      <c r="F604">
        <v>2</v>
      </c>
      <c r="G604" s="2">
        <v>1.63</v>
      </c>
      <c r="H604">
        <f>15000+8500</f>
        <v>23500</v>
      </c>
      <c r="I604">
        <f>2500+2500</f>
        <v>5000</v>
      </c>
      <c r="J604" s="8">
        <f>IF(Tableau3[[#This Row],[prospet]]=0,0,Tableau3[[#This Row],[Ventes]]/Tableau3[[#This Row],[prospet]])</f>
        <v>0.15384615384615385</v>
      </c>
      <c r="K604">
        <v>4636761</v>
      </c>
    </row>
    <row r="605" spans="1:11" hidden="1" x14ac:dyDescent="0.3">
      <c r="A605" s="1">
        <v>46191</v>
      </c>
      <c r="B605" t="s">
        <v>80</v>
      </c>
      <c r="C605" t="s">
        <v>94</v>
      </c>
      <c r="D605" t="s">
        <v>155</v>
      </c>
      <c r="E605">
        <v>14</v>
      </c>
      <c r="F605">
        <v>3</v>
      </c>
      <c r="G605" s="2">
        <v>1.67</v>
      </c>
      <c r="H605">
        <f>4000+15000+12500</f>
        <v>31500</v>
      </c>
      <c r="I605">
        <f>1000+2500+1500</f>
        <v>5000</v>
      </c>
      <c r="J605" s="8">
        <f>IF(Tableau3[[#This Row],[prospet]]=0,0,Tableau3[[#This Row],[Ventes]]/Tableau3[[#This Row],[prospet]])</f>
        <v>0.21428571428571427</v>
      </c>
      <c r="K605">
        <v>4636772</v>
      </c>
    </row>
    <row r="606" spans="1:11" hidden="1" x14ac:dyDescent="0.3">
      <c r="A606" s="1">
        <v>46191</v>
      </c>
      <c r="B606" t="s">
        <v>83</v>
      </c>
      <c r="C606" t="s">
        <v>95</v>
      </c>
      <c r="D606" t="s">
        <v>83</v>
      </c>
      <c r="E606">
        <v>22</v>
      </c>
      <c r="F606">
        <v>1</v>
      </c>
      <c r="G606" s="2">
        <v>1.34</v>
      </c>
      <c r="H606">
        <v>3000</v>
      </c>
      <c r="I606">
        <v>1000</v>
      </c>
      <c r="J606" s="8">
        <f>IF(Tableau3[[#This Row],[prospet]]=0,0,Tableau3[[#This Row],[Ventes]]/Tableau3[[#This Row],[prospet]])</f>
        <v>4.5454545454545456E-2</v>
      </c>
      <c r="K606">
        <v>3947053</v>
      </c>
    </row>
    <row r="607" spans="1:11" hidden="1" x14ac:dyDescent="0.3">
      <c r="A607" s="1">
        <v>46191</v>
      </c>
      <c r="B607" t="s">
        <v>84</v>
      </c>
      <c r="C607" t="s">
        <v>96</v>
      </c>
      <c r="D607" t="s">
        <v>84</v>
      </c>
      <c r="E607">
        <v>21</v>
      </c>
      <c r="F607">
        <v>4</v>
      </c>
      <c r="G607" s="2">
        <v>1.68</v>
      </c>
      <c r="H607">
        <v>16000</v>
      </c>
      <c r="I607">
        <v>4000</v>
      </c>
      <c r="J607" s="8">
        <f>IF(Tableau3[[#This Row],[prospet]]=0,0,Tableau3[[#This Row],[Ventes]]/Tableau3[[#This Row],[prospet]])</f>
        <v>0.19047619047619047</v>
      </c>
      <c r="K607">
        <v>4587817</v>
      </c>
    </row>
    <row r="608" spans="1:11" hidden="1" x14ac:dyDescent="0.3">
      <c r="A608" s="1">
        <v>46191</v>
      </c>
      <c r="B608" t="s">
        <v>98</v>
      </c>
      <c r="C608" t="s">
        <v>99</v>
      </c>
      <c r="D608" t="s">
        <v>98</v>
      </c>
      <c r="E608">
        <v>20</v>
      </c>
      <c r="G608" s="2">
        <v>1.86</v>
      </c>
      <c r="J608" s="8">
        <f>IF(Tableau3[[#This Row],[prospet]]=0,0,Tableau3[[#This Row],[Ventes]]/Tableau3[[#This Row],[prospet]])</f>
        <v>0</v>
      </c>
      <c r="K608">
        <v>3330821</v>
      </c>
    </row>
    <row r="609" spans="1:11" hidden="1" x14ac:dyDescent="0.3">
      <c r="A609" s="1">
        <v>46191</v>
      </c>
      <c r="B609" t="s">
        <v>109</v>
      </c>
      <c r="C609" t="s">
        <v>110</v>
      </c>
      <c r="D609" t="s">
        <v>109</v>
      </c>
      <c r="E609">
        <v>27</v>
      </c>
      <c r="G609" s="2">
        <v>1.84</v>
      </c>
      <c r="J609" s="8">
        <f>IF(Tableau3[[#This Row],[prospet]]=0,0,Tableau3[[#This Row],[Ventes]]/Tableau3[[#This Row],[prospet]])</f>
        <v>0</v>
      </c>
      <c r="K609">
        <v>4090831</v>
      </c>
    </row>
    <row r="610" spans="1:11" hidden="1" x14ac:dyDescent="0.3">
      <c r="A610" s="1">
        <v>46191</v>
      </c>
      <c r="B610" t="s">
        <v>111</v>
      </c>
      <c r="C610" t="s">
        <v>138</v>
      </c>
      <c r="D610" t="s">
        <v>115</v>
      </c>
      <c r="E610">
        <v>13</v>
      </c>
      <c r="F610">
        <v>4</v>
      </c>
      <c r="G610" s="2">
        <v>1.97</v>
      </c>
      <c r="H610">
        <f>12500+8000+4000</f>
        <v>24500</v>
      </c>
      <c r="I610">
        <f>2000+1500+1000</f>
        <v>4500</v>
      </c>
      <c r="J610" s="8">
        <f>IF(Tableau3[[#This Row],[prospet]]=0,0,Tableau3[[#This Row],[Ventes]]/Tableau3[[#This Row],[prospet]])</f>
        <v>0.30769230769230771</v>
      </c>
      <c r="K610">
        <v>4209873</v>
      </c>
    </row>
    <row r="611" spans="1:11" hidden="1" x14ac:dyDescent="0.3">
      <c r="A611" s="1">
        <v>46191</v>
      </c>
      <c r="B611" t="s">
        <v>112</v>
      </c>
      <c r="C611" t="s">
        <v>138</v>
      </c>
      <c r="D611" t="s">
        <v>113</v>
      </c>
      <c r="E611">
        <v>18</v>
      </c>
      <c r="F611">
        <v>3</v>
      </c>
      <c r="G611" s="2">
        <v>2.16</v>
      </c>
      <c r="H611">
        <f>25000+4000</f>
        <v>29000</v>
      </c>
      <c r="I611">
        <f>3000+1000</f>
        <v>4000</v>
      </c>
      <c r="J611" s="8">
        <f>IF(Tableau3[[#This Row],[prospet]]=0,0,Tableau3[[#This Row],[Ventes]]/Tableau3[[#This Row],[prospet]])</f>
        <v>0.16666666666666666</v>
      </c>
      <c r="K611">
        <v>4937885</v>
      </c>
    </row>
    <row r="612" spans="1:11" hidden="1" x14ac:dyDescent="0.3">
      <c r="A612" s="1">
        <v>46192</v>
      </c>
      <c r="B612" t="s">
        <v>16</v>
      </c>
      <c r="C612" t="s">
        <v>85</v>
      </c>
      <c r="D612" t="s">
        <v>18</v>
      </c>
      <c r="E612">
        <v>0</v>
      </c>
      <c r="G612" s="2">
        <v>0</v>
      </c>
      <c r="J612" s="8">
        <f>IF(Tableau3[[#This Row],[prospet]]=0,0,Tableau3[[#This Row],[Ventes]]/Tableau3[[#This Row],[prospet]])</f>
        <v>0</v>
      </c>
      <c r="K612">
        <v>4316190</v>
      </c>
    </row>
    <row r="613" spans="1:11" hidden="1" x14ac:dyDescent="0.3">
      <c r="A613" s="1">
        <v>46192</v>
      </c>
      <c r="B613" t="s">
        <v>9</v>
      </c>
      <c r="C613" t="s">
        <v>86</v>
      </c>
      <c r="D613" t="s">
        <v>13</v>
      </c>
      <c r="E613">
        <v>7</v>
      </c>
      <c r="F613">
        <v>3</v>
      </c>
      <c r="G613" s="2">
        <v>0.76</v>
      </c>
      <c r="H613">
        <f>12000</f>
        <v>12000</v>
      </c>
      <c r="I613">
        <v>3000</v>
      </c>
      <c r="J613" s="8">
        <f>IF(Tableau3[[#This Row],[prospet]]=0,0,Tableau3[[#This Row],[Ventes]]/Tableau3[[#This Row],[prospet]])</f>
        <v>0.42857142857142855</v>
      </c>
      <c r="K613">
        <v>4554529</v>
      </c>
    </row>
    <row r="614" spans="1:11" hidden="1" x14ac:dyDescent="0.3">
      <c r="A614" s="1">
        <v>46192</v>
      </c>
      <c r="B614" t="s">
        <v>43</v>
      </c>
      <c r="C614" t="s">
        <v>11</v>
      </c>
      <c r="D614" t="s">
        <v>43</v>
      </c>
      <c r="E614">
        <v>0</v>
      </c>
      <c r="G614" s="2">
        <v>0</v>
      </c>
      <c r="J614" s="8">
        <f>IF(Tableau3[[#This Row],[prospet]]=0,0,Tableau3[[#This Row],[Ventes]]/Tableau3[[#This Row],[prospet]])</f>
        <v>0</v>
      </c>
      <c r="K614">
        <v>4348553</v>
      </c>
    </row>
    <row r="615" spans="1:11" hidden="1" x14ac:dyDescent="0.3">
      <c r="A615" s="1">
        <v>46192</v>
      </c>
      <c r="B615" t="s">
        <v>30</v>
      </c>
      <c r="C615" t="s">
        <v>88</v>
      </c>
      <c r="D615" t="s">
        <v>30</v>
      </c>
      <c r="E615">
        <v>1</v>
      </c>
      <c r="F615">
        <v>2</v>
      </c>
      <c r="G615" s="2">
        <v>0</v>
      </c>
      <c r="H615">
        <f>25000</f>
        <v>25000</v>
      </c>
      <c r="I615">
        <v>3000</v>
      </c>
      <c r="J615" s="8">
        <f>IF(Tableau3[[#This Row],[prospet]]=0,0,Tableau3[[#This Row],[Ventes]]/Tableau3[[#This Row],[prospet]])</f>
        <v>2</v>
      </c>
      <c r="K615">
        <v>4586158</v>
      </c>
    </row>
    <row r="616" spans="1:11" hidden="1" x14ac:dyDescent="0.3">
      <c r="A616" s="1">
        <v>46192</v>
      </c>
      <c r="B616" t="s">
        <v>3</v>
      </c>
      <c r="C616" t="s">
        <v>89</v>
      </c>
      <c r="D616" t="s">
        <v>3</v>
      </c>
      <c r="E616">
        <v>0</v>
      </c>
      <c r="F616">
        <v>1</v>
      </c>
      <c r="G616" s="2">
        <v>0</v>
      </c>
      <c r="H616">
        <v>12500</v>
      </c>
      <c r="I616">
        <v>1500</v>
      </c>
      <c r="J616" s="8">
        <f>IF(Tableau3[[#This Row],[prospet]]=0,0,Tableau3[[#This Row],[Ventes]]/Tableau3[[#This Row],[prospet]])</f>
        <v>0</v>
      </c>
      <c r="K616">
        <v>4561858</v>
      </c>
    </row>
    <row r="617" spans="1:11" hidden="1" x14ac:dyDescent="0.3">
      <c r="A617" s="1">
        <v>46192</v>
      </c>
      <c r="B617" t="s">
        <v>60</v>
      </c>
      <c r="C617" t="s">
        <v>85</v>
      </c>
      <c r="D617" t="s">
        <v>61</v>
      </c>
      <c r="E617">
        <v>0</v>
      </c>
      <c r="F617">
        <v>2</v>
      </c>
      <c r="G617" s="2">
        <v>0</v>
      </c>
      <c r="H617">
        <f>4000+3000</f>
        <v>7000</v>
      </c>
      <c r="I617">
        <v>2000</v>
      </c>
      <c r="J617" s="8">
        <f>IF(Tableau3[[#This Row],[prospet]]=0,0,Tableau3[[#This Row],[Ventes]]/Tableau3[[#This Row],[prospet]])</f>
        <v>0</v>
      </c>
      <c r="K617">
        <v>4587211</v>
      </c>
    </row>
    <row r="618" spans="1:11" hidden="1" x14ac:dyDescent="0.3">
      <c r="A618" s="1">
        <v>46192</v>
      </c>
      <c r="B618" t="s">
        <v>62</v>
      </c>
      <c r="C618" t="s">
        <v>90</v>
      </c>
      <c r="D618" t="s">
        <v>62</v>
      </c>
      <c r="E618">
        <v>3</v>
      </c>
      <c r="F618">
        <v>5</v>
      </c>
      <c r="G618" s="2">
        <v>0.66</v>
      </c>
      <c r="H618">
        <f>12000+17500+12500</f>
        <v>42000</v>
      </c>
      <c r="I618">
        <f>3000+3500+1500</f>
        <v>8000</v>
      </c>
      <c r="J618" s="8">
        <f>IF(Tableau3[[#This Row],[prospet]]=0,0,Tableau3[[#This Row],[Ventes]]/Tableau3[[#This Row],[prospet]])</f>
        <v>1.6666666666666667</v>
      </c>
      <c r="K618">
        <v>4221767</v>
      </c>
    </row>
    <row r="619" spans="1:11" hidden="1" x14ac:dyDescent="0.3">
      <c r="A619" s="1">
        <v>46192</v>
      </c>
      <c r="B619" t="s">
        <v>63</v>
      </c>
      <c r="C619" t="s">
        <v>91</v>
      </c>
      <c r="D619" t="s">
        <v>154</v>
      </c>
      <c r="E619">
        <v>1</v>
      </c>
      <c r="G619" s="2">
        <v>0.76</v>
      </c>
      <c r="J619" s="8">
        <f>IF(Tableau3[[#This Row],[prospet]]=0,0,Tableau3[[#This Row],[Ventes]]/Tableau3[[#This Row],[prospet]])</f>
        <v>0</v>
      </c>
      <c r="K619">
        <v>4463888</v>
      </c>
    </row>
    <row r="620" spans="1:11" hidden="1" x14ac:dyDescent="0.3">
      <c r="A620" s="1">
        <v>46192</v>
      </c>
      <c r="B620" t="s">
        <v>64</v>
      </c>
      <c r="C620" t="s">
        <v>29</v>
      </c>
      <c r="D620" t="s">
        <v>64</v>
      </c>
      <c r="E620">
        <v>0</v>
      </c>
      <c r="G620" s="2">
        <v>0</v>
      </c>
      <c r="J620" s="8">
        <f>IF(Tableau3[[#This Row],[prospet]]=0,0,Tableau3[[#This Row],[Ventes]]/Tableau3[[#This Row],[prospet]])</f>
        <v>0</v>
      </c>
      <c r="K620">
        <v>4080782</v>
      </c>
    </row>
    <row r="621" spans="1:11" hidden="1" x14ac:dyDescent="0.3">
      <c r="A621" s="1">
        <v>46192</v>
      </c>
      <c r="B621" t="s">
        <v>81</v>
      </c>
      <c r="C621" t="s">
        <v>92</v>
      </c>
      <c r="D621" t="s">
        <v>81</v>
      </c>
      <c r="E621">
        <v>0</v>
      </c>
      <c r="G621" s="2">
        <v>0</v>
      </c>
      <c r="J621" s="8">
        <f>IF(Tableau3[[#This Row],[prospet]]=0,0,Tableau3[[#This Row],[Ventes]]/Tableau3[[#This Row],[prospet]])</f>
        <v>0</v>
      </c>
      <c r="K621">
        <v>4559847</v>
      </c>
    </row>
    <row r="622" spans="1:11" hidden="1" x14ac:dyDescent="0.3">
      <c r="A622" s="1">
        <v>46192</v>
      </c>
      <c r="B622" t="s">
        <v>82</v>
      </c>
      <c r="C622" t="s">
        <v>11</v>
      </c>
      <c r="D622" t="s">
        <v>82</v>
      </c>
      <c r="E622">
        <v>0</v>
      </c>
      <c r="G622" s="2">
        <v>0</v>
      </c>
      <c r="J622" s="8">
        <f>IF(Tableau3[[#This Row],[prospet]]=0,0,Tableau3[[#This Row],[Ventes]]/Tableau3[[#This Row],[prospet]])</f>
        <v>0</v>
      </c>
      <c r="K622">
        <v>4541035</v>
      </c>
    </row>
    <row r="623" spans="1:11" hidden="1" x14ac:dyDescent="0.3">
      <c r="A623" s="1">
        <v>46192</v>
      </c>
      <c r="B623" t="s">
        <v>97</v>
      </c>
      <c r="C623" t="s">
        <v>93</v>
      </c>
      <c r="D623" t="s">
        <v>97</v>
      </c>
      <c r="E623">
        <v>0</v>
      </c>
      <c r="F623">
        <v>1</v>
      </c>
      <c r="G623" s="2">
        <v>0</v>
      </c>
      <c r="H623">
        <v>15000</v>
      </c>
      <c r="I623">
        <v>2500</v>
      </c>
      <c r="J623" s="8">
        <f>IF(Tableau3[[#This Row],[prospet]]=0,0,Tableau3[[#This Row],[Ventes]]/Tableau3[[#This Row],[prospet]])</f>
        <v>0</v>
      </c>
      <c r="K623">
        <v>4636761</v>
      </c>
    </row>
    <row r="624" spans="1:11" hidden="1" x14ac:dyDescent="0.3">
      <c r="A624" s="1">
        <v>46192</v>
      </c>
      <c r="B624" t="s">
        <v>80</v>
      </c>
      <c r="C624" t="s">
        <v>94</v>
      </c>
      <c r="D624" t="s">
        <v>155</v>
      </c>
      <c r="E624">
        <v>2</v>
      </c>
      <c r="G624" s="2">
        <v>1.03</v>
      </c>
      <c r="J624" s="8">
        <f>IF(Tableau3[[#This Row],[prospet]]=0,0,Tableau3[[#This Row],[Ventes]]/Tableau3[[#This Row],[prospet]])</f>
        <v>0</v>
      </c>
      <c r="K624">
        <v>4636772</v>
      </c>
    </row>
    <row r="625" spans="1:11" hidden="1" x14ac:dyDescent="0.3">
      <c r="A625" s="1">
        <v>46192</v>
      </c>
      <c r="B625" t="s">
        <v>83</v>
      </c>
      <c r="C625" t="s">
        <v>95</v>
      </c>
      <c r="D625" t="s">
        <v>83</v>
      </c>
      <c r="E625">
        <v>0</v>
      </c>
      <c r="F625">
        <v>1</v>
      </c>
      <c r="G625" s="2">
        <v>0</v>
      </c>
      <c r="H625">
        <v>12500</v>
      </c>
      <c r="I625">
        <v>1500</v>
      </c>
      <c r="J625" s="8">
        <f>IF(Tableau3[[#This Row],[prospet]]=0,0,Tableau3[[#This Row],[Ventes]]/Tableau3[[#This Row],[prospet]])</f>
        <v>0</v>
      </c>
      <c r="K625">
        <v>3947053</v>
      </c>
    </row>
    <row r="626" spans="1:11" hidden="1" x14ac:dyDescent="0.3">
      <c r="A626" s="1">
        <v>46192</v>
      </c>
      <c r="B626" t="s">
        <v>84</v>
      </c>
      <c r="C626" t="s">
        <v>96</v>
      </c>
      <c r="D626" t="s">
        <v>84</v>
      </c>
      <c r="E626">
        <v>1</v>
      </c>
      <c r="F626">
        <v>1</v>
      </c>
      <c r="G626" s="2">
        <v>0.34</v>
      </c>
      <c r="H626">
        <v>4000</v>
      </c>
      <c r="I626">
        <v>1000</v>
      </c>
      <c r="J626" s="8">
        <f>IF(Tableau3[[#This Row],[prospet]]=0,0,Tableau3[[#This Row],[Ventes]]/Tableau3[[#This Row],[prospet]])</f>
        <v>1</v>
      </c>
      <c r="K626">
        <v>4587817</v>
      </c>
    </row>
    <row r="627" spans="1:11" hidden="1" x14ac:dyDescent="0.3">
      <c r="A627" s="1">
        <v>46192</v>
      </c>
      <c r="B627" t="s">
        <v>98</v>
      </c>
      <c r="C627" t="s">
        <v>99</v>
      </c>
      <c r="D627" t="s">
        <v>98</v>
      </c>
      <c r="E627">
        <v>1</v>
      </c>
      <c r="G627" s="2">
        <v>0</v>
      </c>
      <c r="J627" s="8">
        <f>IF(Tableau3[[#This Row],[prospet]]=0,0,Tableau3[[#This Row],[Ventes]]/Tableau3[[#This Row],[prospet]])</f>
        <v>0</v>
      </c>
      <c r="K627">
        <v>3330821</v>
      </c>
    </row>
    <row r="628" spans="1:11" hidden="1" x14ac:dyDescent="0.3">
      <c r="A628" s="1">
        <v>46192</v>
      </c>
      <c r="B628" t="s">
        <v>109</v>
      </c>
      <c r="C628" t="s">
        <v>110</v>
      </c>
      <c r="D628" t="s">
        <v>109</v>
      </c>
      <c r="E628">
        <v>0</v>
      </c>
      <c r="G628" s="2">
        <v>0</v>
      </c>
      <c r="J628" s="8">
        <f>IF(Tableau3[[#This Row],[prospet]]=0,0,Tableau3[[#This Row],[Ventes]]/Tableau3[[#This Row],[prospet]])</f>
        <v>0</v>
      </c>
      <c r="K628">
        <v>4090831</v>
      </c>
    </row>
    <row r="629" spans="1:11" hidden="1" x14ac:dyDescent="0.3">
      <c r="A629" s="1">
        <v>46192</v>
      </c>
      <c r="B629" t="s">
        <v>111</v>
      </c>
      <c r="C629" t="s">
        <v>138</v>
      </c>
      <c r="D629" t="s">
        <v>115</v>
      </c>
      <c r="E629">
        <v>0</v>
      </c>
      <c r="G629" s="2">
        <v>0</v>
      </c>
      <c r="J629" s="8">
        <f>IF(Tableau3[[#This Row],[prospet]]=0,0,Tableau3[[#This Row],[Ventes]]/Tableau3[[#This Row],[prospet]])</f>
        <v>0</v>
      </c>
      <c r="K629">
        <v>4209873</v>
      </c>
    </row>
    <row r="630" spans="1:11" hidden="1" x14ac:dyDescent="0.3">
      <c r="A630" s="1">
        <v>46192</v>
      </c>
      <c r="B630" t="s">
        <v>112</v>
      </c>
      <c r="C630" t="s">
        <v>138</v>
      </c>
      <c r="D630" t="s">
        <v>113</v>
      </c>
      <c r="E630">
        <v>0</v>
      </c>
      <c r="F630">
        <v>1</v>
      </c>
      <c r="G630" s="2">
        <v>0</v>
      </c>
      <c r="H630">
        <v>5000</v>
      </c>
      <c r="I630">
        <v>1000</v>
      </c>
      <c r="J630" s="8">
        <f>IF(Tableau3[[#This Row],[prospet]]=0,0,Tableau3[[#This Row],[Ventes]]/Tableau3[[#This Row],[prospet]])</f>
        <v>0</v>
      </c>
      <c r="K630">
        <v>4937885</v>
      </c>
    </row>
    <row r="631" spans="1:11" hidden="1" x14ac:dyDescent="0.3">
      <c r="A631" s="1">
        <v>46193</v>
      </c>
      <c r="B631" t="s">
        <v>16</v>
      </c>
      <c r="C631" t="s">
        <v>85</v>
      </c>
      <c r="D631" t="s">
        <v>18</v>
      </c>
      <c r="E631">
        <v>34</v>
      </c>
      <c r="F631">
        <v>3</v>
      </c>
      <c r="G631" s="2">
        <v>3.46</v>
      </c>
      <c r="H631">
        <f>12500+8000</f>
        <v>20500</v>
      </c>
      <c r="I631">
        <f>3500</f>
        <v>3500</v>
      </c>
      <c r="J631" s="8">
        <f>IF(Tableau3[[#This Row],[prospet]]=0,0,Tableau3[[#This Row],[Ventes]]/Tableau3[[#This Row],[prospet]])</f>
        <v>8.8235294117647065E-2</v>
      </c>
      <c r="K631">
        <v>4316190</v>
      </c>
    </row>
    <row r="632" spans="1:11" hidden="1" x14ac:dyDescent="0.3">
      <c r="A632" s="1">
        <v>46193</v>
      </c>
      <c r="B632" t="s">
        <v>9</v>
      </c>
      <c r="C632" t="s">
        <v>86</v>
      </c>
      <c r="D632" t="s">
        <v>13</v>
      </c>
      <c r="E632">
        <v>34</v>
      </c>
      <c r="G632" s="2">
        <v>3.57</v>
      </c>
      <c r="J632" s="8">
        <f>IF(Tableau3[[#This Row],[prospet]]=0,0,Tableau3[[#This Row],[Ventes]]/Tableau3[[#This Row],[prospet]])</f>
        <v>0</v>
      </c>
      <c r="K632">
        <v>4554529</v>
      </c>
    </row>
    <row r="633" spans="1:11" hidden="1" x14ac:dyDescent="0.3">
      <c r="A633" s="1">
        <v>46193</v>
      </c>
      <c r="B633" t="s">
        <v>43</v>
      </c>
      <c r="C633" t="s">
        <v>11</v>
      </c>
      <c r="D633" t="s">
        <v>43</v>
      </c>
      <c r="E633">
        <v>19</v>
      </c>
      <c r="F633">
        <v>1</v>
      </c>
      <c r="G633" s="2">
        <v>3.71</v>
      </c>
      <c r="H633">
        <v>10000</v>
      </c>
      <c r="I633">
        <v>2500</v>
      </c>
      <c r="J633" s="8">
        <f>IF(Tableau3[[#This Row],[prospet]]=0,0,Tableau3[[#This Row],[Ventes]]/Tableau3[[#This Row],[prospet]])</f>
        <v>5.2631578947368418E-2</v>
      </c>
      <c r="K633">
        <v>4348553</v>
      </c>
    </row>
    <row r="634" spans="1:11" hidden="1" x14ac:dyDescent="0.3">
      <c r="A634" s="1">
        <v>46193</v>
      </c>
      <c r="B634" t="s">
        <v>30</v>
      </c>
      <c r="C634" t="s">
        <v>88</v>
      </c>
      <c r="D634" t="s">
        <v>30</v>
      </c>
      <c r="E634">
        <v>28</v>
      </c>
      <c r="G634" s="2">
        <v>2.95</v>
      </c>
      <c r="J634" s="8">
        <f>IF(Tableau3[[#This Row],[prospet]]=0,0,Tableau3[[#This Row],[Ventes]]/Tableau3[[#This Row],[prospet]])</f>
        <v>0</v>
      </c>
      <c r="K634">
        <v>4586158</v>
      </c>
    </row>
    <row r="635" spans="1:11" hidden="1" x14ac:dyDescent="0.3">
      <c r="A635" s="1">
        <v>46193</v>
      </c>
      <c r="B635" t="s">
        <v>3</v>
      </c>
      <c r="C635" t="s">
        <v>89</v>
      </c>
      <c r="D635" t="s">
        <v>3</v>
      </c>
      <c r="J635" s="8">
        <f>IF(Tableau3[[#This Row],[prospet]]=0,0,Tableau3[[#This Row],[Ventes]]/Tableau3[[#This Row],[prospet]])</f>
        <v>0</v>
      </c>
      <c r="K635">
        <v>4561858</v>
      </c>
    </row>
    <row r="636" spans="1:11" hidden="1" x14ac:dyDescent="0.3">
      <c r="A636" s="1">
        <v>46193</v>
      </c>
      <c r="B636" t="s">
        <v>60</v>
      </c>
      <c r="C636" t="s">
        <v>85</v>
      </c>
      <c r="D636" t="s">
        <v>61</v>
      </c>
      <c r="J636" s="8">
        <f>IF(Tableau3[[#This Row],[prospet]]=0,0,Tableau3[[#This Row],[Ventes]]/Tableau3[[#This Row],[prospet]])</f>
        <v>0</v>
      </c>
      <c r="K636">
        <v>4587211</v>
      </c>
    </row>
    <row r="637" spans="1:11" hidden="1" x14ac:dyDescent="0.3">
      <c r="A637" s="1">
        <v>46193</v>
      </c>
      <c r="B637" t="s">
        <v>62</v>
      </c>
      <c r="C637" t="s">
        <v>90</v>
      </c>
      <c r="D637" t="s">
        <v>62</v>
      </c>
      <c r="E637">
        <v>14</v>
      </c>
      <c r="G637" s="2">
        <v>2.41</v>
      </c>
      <c r="J637" s="8">
        <f>IF(Tableau3[[#This Row],[prospet]]=0,0,Tableau3[[#This Row],[Ventes]]/Tableau3[[#This Row],[prospet]])</f>
        <v>0</v>
      </c>
      <c r="K637">
        <v>4221767</v>
      </c>
    </row>
    <row r="638" spans="1:11" hidden="1" x14ac:dyDescent="0.3">
      <c r="A638" s="1">
        <v>46193</v>
      </c>
      <c r="B638" t="s">
        <v>63</v>
      </c>
      <c r="C638" t="s">
        <v>91</v>
      </c>
      <c r="D638" t="s">
        <v>154</v>
      </c>
      <c r="E638">
        <v>23</v>
      </c>
      <c r="G638" s="2">
        <v>3.11</v>
      </c>
      <c r="J638" s="8">
        <f>IF(Tableau3[[#This Row],[prospet]]=0,0,Tableau3[[#This Row],[Ventes]]/Tableau3[[#This Row],[prospet]])</f>
        <v>0</v>
      </c>
      <c r="K638">
        <v>4463888</v>
      </c>
    </row>
    <row r="639" spans="1:11" hidden="1" x14ac:dyDescent="0.3">
      <c r="A639" s="1">
        <v>46193</v>
      </c>
      <c r="B639" t="s">
        <v>64</v>
      </c>
      <c r="C639" t="s">
        <v>29</v>
      </c>
      <c r="D639" t="s">
        <v>64</v>
      </c>
      <c r="E639">
        <v>0</v>
      </c>
      <c r="J639" s="8">
        <f>IF(Tableau3[[#This Row],[prospet]]=0,0,Tableau3[[#This Row],[Ventes]]/Tableau3[[#This Row],[prospet]])</f>
        <v>0</v>
      </c>
      <c r="K639">
        <v>4080782</v>
      </c>
    </row>
    <row r="640" spans="1:11" hidden="1" x14ac:dyDescent="0.3">
      <c r="A640" s="1">
        <v>46193</v>
      </c>
      <c r="B640" t="s">
        <v>81</v>
      </c>
      <c r="C640" t="s">
        <v>92</v>
      </c>
      <c r="D640" t="s">
        <v>81</v>
      </c>
      <c r="E640">
        <v>0</v>
      </c>
      <c r="J640" s="8">
        <f>IF(Tableau3[[#This Row],[prospet]]=0,0,Tableau3[[#This Row],[Ventes]]/Tableau3[[#This Row],[prospet]])</f>
        <v>0</v>
      </c>
      <c r="K640">
        <v>4559847</v>
      </c>
    </row>
    <row r="641" spans="1:11" hidden="1" x14ac:dyDescent="0.3">
      <c r="A641" s="1">
        <v>46193</v>
      </c>
      <c r="B641" t="s">
        <v>82</v>
      </c>
      <c r="C641" t="s">
        <v>11</v>
      </c>
      <c r="D641" t="s">
        <v>82</v>
      </c>
      <c r="E641">
        <v>0</v>
      </c>
      <c r="J641" s="8">
        <f>IF(Tableau3[[#This Row],[prospet]]=0,0,Tableau3[[#This Row],[Ventes]]/Tableau3[[#This Row],[prospet]])</f>
        <v>0</v>
      </c>
      <c r="K641">
        <v>4541035</v>
      </c>
    </row>
    <row r="642" spans="1:11" hidden="1" x14ac:dyDescent="0.3">
      <c r="A642" s="1">
        <v>46193</v>
      </c>
      <c r="B642" t="s">
        <v>97</v>
      </c>
      <c r="C642" t="s">
        <v>93</v>
      </c>
      <c r="D642" t="s">
        <v>97</v>
      </c>
      <c r="E642">
        <v>8</v>
      </c>
      <c r="G642" s="2">
        <v>2.0299999999999998</v>
      </c>
      <c r="J642" s="8">
        <f>IF(Tableau3[[#This Row],[prospet]]=0,0,Tableau3[[#This Row],[Ventes]]/Tableau3[[#This Row],[prospet]])</f>
        <v>0</v>
      </c>
      <c r="K642">
        <v>4636761</v>
      </c>
    </row>
    <row r="643" spans="1:11" hidden="1" x14ac:dyDescent="0.3">
      <c r="A643" s="1">
        <v>46193</v>
      </c>
      <c r="B643" t="s">
        <v>80</v>
      </c>
      <c r="C643" t="s">
        <v>94</v>
      </c>
      <c r="D643" t="s">
        <v>155</v>
      </c>
      <c r="E643">
        <v>23</v>
      </c>
      <c r="F643">
        <v>3</v>
      </c>
      <c r="G643" s="2">
        <v>3.55</v>
      </c>
      <c r="H643">
        <f>8000+12500</f>
        <v>20500</v>
      </c>
      <c r="I643">
        <f>3500</f>
        <v>3500</v>
      </c>
      <c r="J643" s="8">
        <f>IF(Tableau3[[#This Row],[prospet]]=0,0,Tableau3[[#This Row],[Ventes]]/Tableau3[[#This Row],[prospet]])</f>
        <v>0.13043478260869565</v>
      </c>
      <c r="K643">
        <v>4636772</v>
      </c>
    </row>
    <row r="644" spans="1:11" hidden="1" x14ac:dyDescent="0.3">
      <c r="A644" s="1">
        <v>46193</v>
      </c>
      <c r="B644" t="s">
        <v>83</v>
      </c>
      <c r="C644" t="s">
        <v>95</v>
      </c>
      <c r="D644" t="s">
        <v>83</v>
      </c>
      <c r="E644">
        <v>23</v>
      </c>
      <c r="G644" s="2">
        <v>4.66</v>
      </c>
      <c r="J644" s="8">
        <f>IF(Tableau3[[#This Row],[prospet]]=0,0,Tableau3[[#This Row],[Ventes]]/Tableau3[[#This Row],[prospet]])</f>
        <v>0</v>
      </c>
      <c r="K644">
        <v>3947053</v>
      </c>
    </row>
    <row r="645" spans="1:11" hidden="1" x14ac:dyDescent="0.3">
      <c r="A645" s="1">
        <v>46193</v>
      </c>
      <c r="B645" t="s">
        <v>84</v>
      </c>
      <c r="C645" t="s">
        <v>96</v>
      </c>
      <c r="D645" t="s">
        <v>84</v>
      </c>
      <c r="E645">
        <v>14</v>
      </c>
      <c r="G645" s="2">
        <v>3.07</v>
      </c>
      <c r="J645" s="8">
        <f>IF(Tableau3[[#This Row],[prospet]]=0,0,Tableau3[[#This Row],[Ventes]]/Tableau3[[#This Row],[prospet]])</f>
        <v>0</v>
      </c>
      <c r="K645">
        <v>4587817</v>
      </c>
    </row>
    <row r="646" spans="1:11" hidden="1" x14ac:dyDescent="0.3">
      <c r="A646" s="1">
        <v>46193</v>
      </c>
      <c r="B646" t="s">
        <v>152</v>
      </c>
      <c r="D646" t="s">
        <v>152</v>
      </c>
      <c r="E646">
        <v>10</v>
      </c>
      <c r="G646" s="2">
        <v>1.28</v>
      </c>
      <c r="J646" s="8">
        <f>IF(Tableau3[[#This Row],[prospet]]=0,0,Tableau3[[#This Row],[Ventes]]/Tableau3[[#This Row],[prospet]])</f>
        <v>0</v>
      </c>
      <c r="K646">
        <v>4476670</v>
      </c>
    </row>
    <row r="647" spans="1:11" hidden="1" x14ac:dyDescent="0.3">
      <c r="A647" s="1">
        <v>46193</v>
      </c>
      <c r="B647" t="s">
        <v>98</v>
      </c>
      <c r="C647" t="s">
        <v>99</v>
      </c>
      <c r="D647" t="s">
        <v>98</v>
      </c>
      <c r="E647">
        <v>21</v>
      </c>
      <c r="G647" s="2">
        <v>3.3</v>
      </c>
      <c r="J647" s="8">
        <f>IF(Tableau3[[#This Row],[prospet]]=0,0,Tableau3[[#This Row],[Ventes]]/Tableau3[[#This Row],[prospet]])</f>
        <v>0</v>
      </c>
      <c r="K647">
        <v>3330821</v>
      </c>
    </row>
    <row r="648" spans="1:11" hidden="1" x14ac:dyDescent="0.3">
      <c r="A648" s="1">
        <v>46193</v>
      </c>
      <c r="B648" t="s">
        <v>109</v>
      </c>
      <c r="C648" t="s">
        <v>110</v>
      </c>
      <c r="D648" t="s">
        <v>109</v>
      </c>
      <c r="E648">
        <v>0</v>
      </c>
      <c r="G648" s="2">
        <v>0</v>
      </c>
      <c r="J648" s="8">
        <f>IF(Tableau3[[#This Row],[prospet]]=0,0,Tableau3[[#This Row],[Ventes]]/Tableau3[[#This Row],[prospet]])</f>
        <v>0</v>
      </c>
      <c r="K648">
        <v>4090831</v>
      </c>
    </row>
    <row r="649" spans="1:11" hidden="1" x14ac:dyDescent="0.3">
      <c r="A649" s="1">
        <v>46193</v>
      </c>
      <c r="B649" t="s">
        <v>111</v>
      </c>
      <c r="C649" t="s">
        <v>138</v>
      </c>
      <c r="D649" t="s">
        <v>115</v>
      </c>
      <c r="E649">
        <v>16</v>
      </c>
      <c r="F649">
        <v>1</v>
      </c>
      <c r="G649" s="2">
        <v>3.15</v>
      </c>
      <c r="H649">
        <v>4000</v>
      </c>
      <c r="I649">
        <v>1000</v>
      </c>
      <c r="J649" s="8">
        <f>IF(Tableau3[[#This Row],[prospet]]=0,0,Tableau3[[#This Row],[Ventes]]/Tableau3[[#This Row],[prospet]])</f>
        <v>6.25E-2</v>
      </c>
      <c r="K649">
        <v>4209873</v>
      </c>
    </row>
    <row r="650" spans="1:11" hidden="1" x14ac:dyDescent="0.3">
      <c r="A650" s="1">
        <v>46193</v>
      </c>
      <c r="B650" t="s">
        <v>112</v>
      </c>
      <c r="C650" t="s">
        <v>138</v>
      </c>
      <c r="D650" t="s">
        <v>113</v>
      </c>
      <c r="E650">
        <v>14</v>
      </c>
      <c r="G650" s="2">
        <v>2.92</v>
      </c>
      <c r="J650" s="8">
        <f>IF(Tableau3[[#This Row],[prospet]]=0,0,Tableau3[[#This Row],[Ventes]]/Tableau3[[#This Row],[prospet]])</f>
        <v>0</v>
      </c>
      <c r="K650">
        <v>4937885</v>
      </c>
    </row>
    <row r="651" spans="1:11" hidden="1" x14ac:dyDescent="0.3">
      <c r="A651" s="1">
        <v>46194</v>
      </c>
      <c r="B651" t="s">
        <v>16</v>
      </c>
      <c r="C651" t="s">
        <v>85</v>
      </c>
      <c r="D651" t="s">
        <v>18</v>
      </c>
      <c r="E651">
        <v>28</v>
      </c>
      <c r="G651" s="2">
        <v>1.96</v>
      </c>
      <c r="J651" s="8">
        <f>IF(Tableau3[[#This Row],[prospet]]=0,0,Tableau3[[#This Row],[Ventes]]/Tableau3[[#This Row],[prospet]])</f>
        <v>0</v>
      </c>
      <c r="K651">
        <v>4316190</v>
      </c>
    </row>
    <row r="652" spans="1:11" hidden="1" x14ac:dyDescent="0.3">
      <c r="A652" s="1">
        <v>46194</v>
      </c>
      <c r="B652" t="s">
        <v>9</v>
      </c>
      <c r="C652" t="s">
        <v>86</v>
      </c>
      <c r="D652" t="s">
        <v>13</v>
      </c>
      <c r="E652">
        <v>14</v>
      </c>
      <c r="G652" s="2">
        <v>1.57</v>
      </c>
      <c r="J652" s="8">
        <f>IF(Tableau3[[#This Row],[prospet]]=0,0,Tableau3[[#This Row],[Ventes]]/Tableau3[[#This Row],[prospet]])</f>
        <v>0</v>
      </c>
      <c r="K652">
        <v>4554529</v>
      </c>
    </row>
    <row r="653" spans="1:11" hidden="1" x14ac:dyDescent="0.3">
      <c r="A653" s="1">
        <v>46194</v>
      </c>
      <c r="B653" t="s">
        <v>43</v>
      </c>
      <c r="C653" t="s">
        <v>11</v>
      </c>
      <c r="D653" t="s">
        <v>43</v>
      </c>
      <c r="E653">
        <v>11</v>
      </c>
      <c r="G653" s="2">
        <v>2.11</v>
      </c>
      <c r="J653" s="8">
        <f>IF(Tableau3[[#This Row],[prospet]]=0,0,Tableau3[[#This Row],[Ventes]]/Tableau3[[#This Row],[prospet]])</f>
        <v>0</v>
      </c>
      <c r="K653">
        <v>4348553</v>
      </c>
    </row>
    <row r="654" spans="1:11" hidden="1" x14ac:dyDescent="0.3">
      <c r="A654" s="1">
        <v>46194</v>
      </c>
      <c r="B654" t="s">
        <v>30</v>
      </c>
      <c r="C654" t="s">
        <v>88</v>
      </c>
      <c r="D654" t="s">
        <v>30</v>
      </c>
      <c r="E654">
        <v>30</v>
      </c>
      <c r="G654" s="2">
        <v>1.95</v>
      </c>
      <c r="J654" s="8">
        <f>IF(Tableau3[[#This Row],[prospet]]=0,0,Tableau3[[#This Row],[Ventes]]/Tableau3[[#This Row],[prospet]])</f>
        <v>0</v>
      </c>
      <c r="K654">
        <v>4586158</v>
      </c>
    </row>
    <row r="655" spans="1:11" hidden="1" x14ac:dyDescent="0.3">
      <c r="A655" s="1">
        <v>46194</v>
      </c>
      <c r="B655" t="s">
        <v>3</v>
      </c>
      <c r="C655" t="s">
        <v>89</v>
      </c>
      <c r="D655" t="s">
        <v>3</v>
      </c>
      <c r="J655" s="8">
        <f>IF(Tableau3[[#This Row],[prospet]]=0,0,Tableau3[[#This Row],[Ventes]]/Tableau3[[#This Row],[prospet]])</f>
        <v>0</v>
      </c>
      <c r="K655">
        <v>4561858</v>
      </c>
    </row>
    <row r="656" spans="1:11" hidden="1" x14ac:dyDescent="0.3">
      <c r="A656" s="1">
        <v>46194</v>
      </c>
      <c r="B656" t="s">
        <v>60</v>
      </c>
      <c r="C656" t="s">
        <v>85</v>
      </c>
      <c r="D656" t="s">
        <v>61</v>
      </c>
      <c r="E656">
        <v>1</v>
      </c>
      <c r="G656" s="2">
        <v>0.88</v>
      </c>
      <c r="J656" s="8">
        <f>IF(Tableau3[[#This Row],[prospet]]=0,0,Tableau3[[#This Row],[Ventes]]/Tableau3[[#This Row],[prospet]])</f>
        <v>0</v>
      </c>
      <c r="K656">
        <v>4587211</v>
      </c>
    </row>
    <row r="657" spans="1:11" hidden="1" x14ac:dyDescent="0.3">
      <c r="A657" s="1">
        <v>46194</v>
      </c>
      <c r="B657" t="s">
        <v>62</v>
      </c>
      <c r="C657" t="s">
        <v>90</v>
      </c>
      <c r="D657" t="s">
        <v>62</v>
      </c>
      <c r="E657">
        <v>28</v>
      </c>
      <c r="G657" s="2">
        <v>2.14</v>
      </c>
      <c r="J657" s="8">
        <f>IF(Tableau3[[#This Row],[prospet]]=0,0,Tableau3[[#This Row],[Ventes]]/Tableau3[[#This Row],[prospet]])</f>
        <v>0</v>
      </c>
      <c r="K657">
        <v>4221767</v>
      </c>
    </row>
    <row r="658" spans="1:11" hidden="1" x14ac:dyDescent="0.3">
      <c r="A658" s="1">
        <v>46194</v>
      </c>
      <c r="B658" t="s">
        <v>63</v>
      </c>
      <c r="C658" t="s">
        <v>91</v>
      </c>
      <c r="D658" t="s">
        <v>154</v>
      </c>
      <c r="E658">
        <v>8</v>
      </c>
      <c r="G658" s="2">
        <v>1.75</v>
      </c>
      <c r="J658" s="8">
        <f>IF(Tableau3[[#This Row],[prospet]]=0,0,Tableau3[[#This Row],[Ventes]]/Tableau3[[#This Row],[prospet]])</f>
        <v>0</v>
      </c>
      <c r="K658">
        <v>4463888</v>
      </c>
    </row>
    <row r="659" spans="1:11" hidden="1" x14ac:dyDescent="0.3">
      <c r="A659" s="1">
        <v>46194</v>
      </c>
      <c r="B659" t="s">
        <v>64</v>
      </c>
      <c r="D659" t="s">
        <v>64</v>
      </c>
      <c r="E659">
        <v>0</v>
      </c>
      <c r="G659" s="2">
        <v>0</v>
      </c>
      <c r="J659" s="8">
        <f>IF(Tableau3[[#This Row],[prospet]]=0,0,Tableau3[[#This Row],[Ventes]]/Tableau3[[#This Row],[prospet]])</f>
        <v>0</v>
      </c>
      <c r="K659">
        <v>4080782</v>
      </c>
    </row>
    <row r="660" spans="1:11" hidden="1" x14ac:dyDescent="0.3">
      <c r="A660" s="1">
        <v>46194</v>
      </c>
      <c r="B660" t="s">
        <v>81</v>
      </c>
      <c r="C660" t="s">
        <v>92</v>
      </c>
      <c r="D660" t="s">
        <v>81</v>
      </c>
      <c r="E660">
        <v>4</v>
      </c>
      <c r="G660" s="2">
        <v>0.19</v>
      </c>
      <c r="J660" s="8">
        <f>IF(Tableau3[[#This Row],[prospet]]=0,0,Tableau3[[#This Row],[Ventes]]/Tableau3[[#This Row],[prospet]])</f>
        <v>0</v>
      </c>
      <c r="K660">
        <v>4559847</v>
      </c>
    </row>
    <row r="661" spans="1:11" hidden="1" x14ac:dyDescent="0.3">
      <c r="A661" s="1">
        <v>46194</v>
      </c>
      <c r="B661" t="s">
        <v>82</v>
      </c>
      <c r="C661" t="s">
        <v>11</v>
      </c>
      <c r="D661" t="s">
        <v>82</v>
      </c>
      <c r="J661" s="8">
        <f>IF(Tableau3[[#This Row],[prospet]]=0,0,Tableau3[[#This Row],[Ventes]]/Tableau3[[#This Row],[prospet]])</f>
        <v>0</v>
      </c>
      <c r="K661">
        <v>4541035</v>
      </c>
    </row>
    <row r="662" spans="1:11" hidden="1" x14ac:dyDescent="0.3">
      <c r="A662" s="1">
        <v>46194</v>
      </c>
      <c r="B662" t="s">
        <v>97</v>
      </c>
      <c r="C662" t="s">
        <v>93</v>
      </c>
      <c r="D662" t="s">
        <v>97</v>
      </c>
      <c r="E662">
        <v>11</v>
      </c>
      <c r="G662" s="2">
        <v>1.75</v>
      </c>
      <c r="J662" s="8">
        <f>IF(Tableau3[[#This Row],[prospet]]=0,0,Tableau3[[#This Row],[Ventes]]/Tableau3[[#This Row],[prospet]])</f>
        <v>0</v>
      </c>
      <c r="K662">
        <v>4636761</v>
      </c>
    </row>
    <row r="663" spans="1:11" hidden="1" x14ac:dyDescent="0.3">
      <c r="A663" s="1">
        <v>46194</v>
      </c>
      <c r="B663" t="s">
        <v>80</v>
      </c>
      <c r="C663" t="s">
        <v>94</v>
      </c>
      <c r="D663" t="s">
        <v>155</v>
      </c>
      <c r="E663">
        <v>14</v>
      </c>
      <c r="G663" s="2">
        <v>1.97</v>
      </c>
      <c r="J663" s="8">
        <f>IF(Tableau3[[#This Row],[prospet]]=0,0,Tableau3[[#This Row],[Ventes]]/Tableau3[[#This Row],[prospet]])</f>
        <v>0</v>
      </c>
      <c r="K663">
        <v>4636772</v>
      </c>
    </row>
    <row r="664" spans="1:11" hidden="1" x14ac:dyDescent="0.3">
      <c r="A664" s="1">
        <v>46194</v>
      </c>
      <c r="B664" t="s">
        <v>83</v>
      </c>
      <c r="C664" t="s">
        <v>95</v>
      </c>
      <c r="D664" t="s">
        <v>83</v>
      </c>
      <c r="E664">
        <v>19</v>
      </c>
      <c r="G664" s="2">
        <v>1.96</v>
      </c>
      <c r="J664" s="8">
        <f>IF(Tableau3[[#This Row],[prospet]]=0,0,Tableau3[[#This Row],[Ventes]]/Tableau3[[#This Row],[prospet]])</f>
        <v>0</v>
      </c>
      <c r="K664">
        <v>3947053</v>
      </c>
    </row>
    <row r="665" spans="1:11" hidden="1" x14ac:dyDescent="0.3">
      <c r="A665" s="1">
        <v>46194</v>
      </c>
      <c r="B665" t="s">
        <v>84</v>
      </c>
      <c r="C665" t="s">
        <v>96</v>
      </c>
      <c r="D665" t="s">
        <v>84</v>
      </c>
      <c r="E665">
        <v>11</v>
      </c>
      <c r="G665" s="2">
        <v>2.4310999999999998</v>
      </c>
      <c r="J665" s="8">
        <f>IF(Tableau3[[#This Row],[prospet]]=0,0,Tableau3[[#This Row],[Ventes]]/Tableau3[[#This Row],[prospet]])</f>
        <v>0</v>
      </c>
      <c r="K665">
        <v>4587817</v>
      </c>
    </row>
    <row r="666" spans="1:11" hidden="1" x14ac:dyDescent="0.3">
      <c r="A666" s="1">
        <v>46194</v>
      </c>
      <c r="B666" t="s">
        <v>98</v>
      </c>
      <c r="C666" t="s">
        <v>99</v>
      </c>
      <c r="D666" t="s">
        <v>98</v>
      </c>
      <c r="E666">
        <v>20</v>
      </c>
      <c r="G666" s="2">
        <v>2.08</v>
      </c>
      <c r="J666" s="8">
        <f>IF(Tableau3[[#This Row],[prospet]]=0,0,Tableau3[[#This Row],[Ventes]]/Tableau3[[#This Row],[prospet]])</f>
        <v>0</v>
      </c>
      <c r="K666">
        <v>3330821</v>
      </c>
    </row>
    <row r="667" spans="1:11" hidden="1" x14ac:dyDescent="0.3">
      <c r="A667" s="1">
        <v>46194</v>
      </c>
      <c r="B667" t="s">
        <v>109</v>
      </c>
      <c r="C667" t="s">
        <v>110</v>
      </c>
      <c r="D667" t="s">
        <v>109</v>
      </c>
      <c r="J667" s="8">
        <f>IF(Tableau3[[#This Row],[prospet]]=0,0,Tableau3[[#This Row],[Ventes]]/Tableau3[[#This Row],[prospet]])</f>
        <v>0</v>
      </c>
      <c r="K667">
        <v>4090831</v>
      </c>
    </row>
    <row r="668" spans="1:11" hidden="1" x14ac:dyDescent="0.3">
      <c r="A668" s="1">
        <v>46194</v>
      </c>
      <c r="B668" t="s">
        <v>111</v>
      </c>
      <c r="C668" t="s">
        <v>138</v>
      </c>
      <c r="D668" t="s">
        <v>115</v>
      </c>
      <c r="E668">
        <v>20</v>
      </c>
      <c r="G668" s="2">
        <v>2.14</v>
      </c>
      <c r="J668" s="8">
        <f>IF(Tableau3[[#This Row],[prospet]]=0,0,Tableau3[[#This Row],[Ventes]]/Tableau3[[#This Row],[prospet]])</f>
        <v>0</v>
      </c>
      <c r="K668">
        <v>4209873</v>
      </c>
    </row>
    <row r="669" spans="1:11" hidden="1" x14ac:dyDescent="0.3">
      <c r="A669" s="1">
        <v>46194</v>
      </c>
      <c r="B669" t="s">
        <v>112</v>
      </c>
      <c r="C669" t="s">
        <v>138</v>
      </c>
      <c r="D669" t="s">
        <v>113</v>
      </c>
      <c r="E669">
        <v>21</v>
      </c>
      <c r="G669" s="2">
        <v>1.92</v>
      </c>
      <c r="J669" s="8">
        <f>IF(Tableau3[[#This Row],[prospet]]=0,0,Tableau3[[#This Row],[Ventes]]/Tableau3[[#This Row],[prospet]])</f>
        <v>0</v>
      </c>
      <c r="K669">
        <v>4937885</v>
      </c>
    </row>
    <row r="670" spans="1:11" hidden="1" x14ac:dyDescent="0.3">
      <c r="A670" s="1">
        <v>46194</v>
      </c>
      <c r="B670" t="s">
        <v>152</v>
      </c>
      <c r="D670" t="s">
        <v>152</v>
      </c>
      <c r="E670">
        <v>7</v>
      </c>
      <c r="G670" s="2">
        <v>1.68</v>
      </c>
      <c r="J670" s="8">
        <f>IF(Tableau3[[#This Row],[prospet]]=0,0,Tableau3[[#This Row],[Ventes]]/Tableau3[[#This Row],[prospet]])</f>
        <v>0</v>
      </c>
      <c r="K670">
        <v>4476670</v>
      </c>
    </row>
    <row r="671" spans="1:11" hidden="1" x14ac:dyDescent="0.3">
      <c r="A671" s="1">
        <v>46195</v>
      </c>
      <c r="B671" t="s">
        <v>16</v>
      </c>
      <c r="C671" t="s">
        <v>85</v>
      </c>
      <c r="D671" t="s">
        <v>18</v>
      </c>
      <c r="E671">
        <v>14</v>
      </c>
      <c r="F671">
        <v>3</v>
      </c>
      <c r="G671" s="2">
        <v>1.79</v>
      </c>
      <c r="H671">
        <f>8000+8500</f>
        <v>16500</v>
      </c>
      <c r="I671">
        <f>2000+2500</f>
        <v>4500</v>
      </c>
      <c r="J671" s="8">
        <f>IF(Tableau3[[#This Row],[prospet]]=0,0,Tableau3[[#This Row],[Ventes]]/Tableau3[[#This Row],[prospet]])</f>
        <v>0.21428571428571427</v>
      </c>
      <c r="K671">
        <v>4316190</v>
      </c>
    </row>
    <row r="672" spans="1:11" hidden="1" x14ac:dyDescent="0.3">
      <c r="A672" s="1">
        <v>46195</v>
      </c>
      <c r="B672" t="s">
        <v>9</v>
      </c>
      <c r="C672" t="s">
        <v>86</v>
      </c>
      <c r="D672" t="s">
        <v>13</v>
      </c>
      <c r="E672">
        <v>25</v>
      </c>
      <c r="F672">
        <v>2</v>
      </c>
      <c r="G672" s="2">
        <v>1.47</v>
      </c>
      <c r="H672">
        <v>8000</v>
      </c>
      <c r="I672">
        <v>2000</v>
      </c>
      <c r="J672" s="8">
        <f>IF(Tableau3[[#This Row],[prospet]]=0,0,Tableau3[[#This Row],[Ventes]]/Tableau3[[#This Row],[prospet]])</f>
        <v>0.08</v>
      </c>
      <c r="K672">
        <v>4554529</v>
      </c>
    </row>
    <row r="673" spans="1:11" hidden="1" x14ac:dyDescent="0.3">
      <c r="A673" s="1">
        <v>46195</v>
      </c>
      <c r="B673" t="s">
        <v>43</v>
      </c>
      <c r="C673" t="s">
        <v>11</v>
      </c>
      <c r="D673" t="s">
        <v>43</v>
      </c>
      <c r="E673">
        <v>21</v>
      </c>
      <c r="F673">
        <v>3</v>
      </c>
      <c r="G673" s="2">
        <v>2.34</v>
      </c>
      <c r="H673">
        <f>4000+17000</f>
        <v>21000</v>
      </c>
      <c r="I673">
        <f>6000</f>
        <v>6000</v>
      </c>
      <c r="J673" s="8">
        <f>IF(Tableau3[[#This Row],[prospet]]=0,0,Tableau3[[#This Row],[Ventes]]/Tableau3[[#This Row],[prospet]])</f>
        <v>0.14285714285714285</v>
      </c>
      <c r="K673">
        <v>4348553</v>
      </c>
    </row>
    <row r="674" spans="1:11" hidden="1" x14ac:dyDescent="0.3">
      <c r="A674" s="1">
        <v>46195</v>
      </c>
      <c r="B674" t="s">
        <v>30</v>
      </c>
      <c r="C674" t="s">
        <v>88</v>
      </c>
      <c r="D674" t="s">
        <v>30</v>
      </c>
      <c r="E674">
        <v>11</v>
      </c>
      <c r="F674">
        <v>3</v>
      </c>
      <c r="G674" s="2">
        <v>1.55</v>
      </c>
      <c r="H674">
        <f>12500+8000</f>
        <v>20500</v>
      </c>
      <c r="I674">
        <v>3500</v>
      </c>
      <c r="J674" s="8">
        <f>IF(Tableau3[[#This Row],[prospet]]=0,0,Tableau3[[#This Row],[Ventes]]/Tableau3[[#This Row],[prospet]])</f>
        <v>0.27272727272727271</v>
      </c>
      <c r="K674">
        <v>4586158</v>
      </c>
    </row>
    <row r="675" spans="1:11" hidden="1" x14ac:dyDescent="0.3">
      <c r="A675" s="1">
        <v>46195</v>
      </c>
      <c r="B675" t="s">
        <v>3</v>
      </c>
      <c r="C675" t="s">
        <v>89</v>
      </c>
      <c r="D675" t="s">
        <v>3</v>
      </c>
      <c r="J675" s="8">
        <f>IF(Tableau3[[#This Row],[prospet]]=0,0,Tableau3[[#This Row],[Ventes]]/Tableau3[[#This Row],[prospet]])</f>
        <v>0</v>
      </c>
      <c r="K675">
        <v>4561858</v>
      </c>
    </row>
    <row r="676" spans="1:11" hidden="1" x14ac:dyDescent="0.3">
      <c r="A676" s="1">
        <v>46195</v>
      </c>
      <c r="B676" t="s">
        <v>60</v>
      </c>
      <c r="C676" t="s">
        <v>85</v>
      </c>
      <c r="D676" t="s">
        <v>61</v>
      </c>
      <c r="E676">
        <v>2</v>
      </c>
      <c r="G676" s="2">
        <v>0.98</v>
      </c>
      <c r="J676" s="8">
        <f>IF(Tableau3[[#This Row],[prospet]]=0,0,Tableau3[[#This Row],[Ventes]]/Tableau3[[#This Row],[prospet]])</f>
        <v>0</v>
      </c>
      <c r="K676">
        <v>4587211</v>
      </c>
    </row>
    <row r="677" spans="1:11" hidden="1" x14ac:dyDescent="0.3">
      <c r="A677" s="1">
        <v>46195</v>
      </c>
      <c r="B677" t="s">
        <v>62</v>
      </c>
      <c r="C677" t="s">
        <v>90</v>
      </c>
      <c r="D677" t="s">
        <v>62</v>
      </c>
      <c r="E677">
        <v>21</v>
      </c>
      <c r="G677" s="2">
        <v>1.87</v>
      </c>
      <c r="J677" s="8">
        <f>IF(Tableau3[[#This Row],[prospet]]=0,0,Tableau3[[#This Row],[Ventes]]/Tableau3[[#This Row],[prospet]])</f>
        <v>0</v>
      </c>
      <c r="K677">
        <v>4221767</v>
      </c>
    </row>
    <row r="678" spans="1:11" hidden="1" x14ac:dyDescent="0.3">
      <c r="A678" s="1">
        <v>46195</v>
      </c>
      <c r="B678" t="s">
        <v>63</v>
      </c>
      <c r="C678" t="s">
        <v>91</v>
      </c>
      <c r="D678" t="s">
        <v>154</v>
      </c>
      <c r="E678">
        <v>5</v>
      </c>
      <c r="F678">
        <v>1</v>
      </c>
      <c r="G678" s="2">
        <v>0.7</v>
      </c>
      <c r="H678">
        <v>10000</v>
      </c>
      <c r="I678">
        <v>2500</v>
      </c>
      <c r="J678" s="8">
        <f>IF(Tableau3[[#This Row],[prospet]]=0,0,Tableau3[[#This Row],[Ventes]]/Tableau3[[#This Row],[prospet]])</f>
        <v>0.2</v>
      </c>
      <c r="K678">
        <v>4463888</v>
      </c>
    </row>
    <row r="679" spans="1:11" hidden="1" x14ac:dyDescent="0.3">
      <c r="A679" s="1">
        <v>46195</v>
      </c>
      <c r="B679" t="s">
        <v>64</v>
      </c>
      <c r="D679" t="s">
        <v>64</v>
      </c>
      <c r="E679">
        <v>0</v>
      </c>
      <c r="G679" s="2">
        <v>0</v>
      </c>
      <c r="J679" s="8">
        <f>IF(Tableau3[[#This Row],[prospet]]=0,0,Tableau3[[#This Row],[Ventes]]/Tableau3[[#This Row],[prospet]])</f>
        <v>0</v>
      </c>
      <c r="K679">
        <v>4080782</v>
      </c>
    </row>
    <row r="680" spans="1:11" hidden="1" x14ac:dyDescent="0.3">
      <c r="A680" s="1">
        <v>46195</v>
      </c>
      <c r="B680" t="s">
        <v>81</v>
      </c>
      <c r="C680" t="s">
        <v>92</v>
      </c>
      <c r="D680" t="s">
        <v>81</v>
      </c>
      <c r="E680">
        <v>12</v>
      </c>
      <c r="G680" s="2">
        <v>1.86</v>
      </c>
      <c r="J680" s="8">
        <f>IF(Tableau3[[#This Row],[prospet]]=0,0,Tableau3[[#This Row],[Ventes]]/Tableau3[[#This Row],[prospet]])</f>
        <v>0</v>
      </c>
      <c r="K680">
        <v>4559847</v>
      </c>
    </row>
    <row r="681" spans="1:11" hidden="1" x14ac:dyDescent="0.3">
      <c r="A681" s="1">
        <v>46195</v>
      </c>
      <c r="B681" t="s">
        <v>82</v>
      </c>
      <c r="C681" t="s">
        <v>11</v>
      </c>
      <c r="D681" t="s">
        <v>82</v>
      </c>
      <c r="J681" s="8">
        <f>IF(Tableau3[[#This Row],[prospet]]=0,0,Tableau3[[#This Row],[Ventes]]/Tableau3[[#This Row],[prospet]])</f>
        <v>0</v>
      </c>
      <c r="K681">
        <v>4541035</v>
      </c>
    </row>
    <row r="682" spans="1:11" hidden="1" x14ac:dyDescent="0.3">
      <c r="A682" s="1">
        <v>46195</v>
      </c>
      <c r="B682" t="s">
        <v>97</v>
      </c>
      <c r="C682" t="s">
        <v>93</v>
      </c>
      <c r="D682" t="s">
        <v>97</v>
      </c>
      <c r="E682">
        <v>13</v>
      </c>
      <c r="F682">
        <v>2</v>
      </c>
      <c r="G682" s="2">
        <v>2.0699999999999998</v>
      </c>
      <c r="H682">
        <f>15000+4000</f>
        <v>19000</v>
      </c>
      <c r="I682">
        <v>3500</v>
      </c>
      <c r="J682" s="8">
        <f>IF(Tableau3[[#This Row],[prospet]]=0,0,Tableau3[[#This Row],[Ventes]]/Tableau3[[#This Row],[prospet]])</f>
        <v>0.15384615384615385</v>
      </c>
      <c r="K682">
        <v>4636761</v>
      </c>
    </row>
    <row r="683" spans="1:11" hidden="1" x14ac:dyDescent="0.3">
      <c r="A683" s="1">
        <v>46195</v>
      </c>
      <c r="B683" t="s">
        <v>80</v>
      </c>
      <c r="C683" t="s">
        <v>94</v>
      </c>
      <c r="D683" t="s">
        <v>155</v>
      </c>
      <c r="E683">
        <v>13</v>
      </c>
      <c r="G683" s="2">
        <v>2.02</v>
      </c>
      <c r="J683" s="8">
        <f>IF(Tableau3[[#This Row],[prospet]]=0,0,Tableau3[[#This Row],[Ventes]]/Tableau3[[#This Row],[prospet]])</f>
        <v>0</v>
      </c>
      <c r="K683">
        <v>4636772</v>
      </c>
    </row>
    <row r="684" spans="1:11" hidden="1" x14ac:dyDescent="0.3">
      <c r="A684" s="1">
        <v>46195</v>
      </c>
      <c r="B684" t="s">
        <v>83</v>
      </c>
      <c r="C684" t="s">
        <v>95</v>
      </c>
      <c r="D684" t="s">
        <v>83</v>
      </c>
      <c r="E684">
        <v>0</v>
      </c>
      <c r="F684">
        <v>1</v>
      </c>
      <c r="G684" s="2">
        <v>0</v>
      </c>
      <c r="H684">
        <v>12500</v>
      </c>
      <c r="I684">
        <v>2500</v>
      </c>
      <c r="J684" s="8">
        <f>IF(Tableau3[[#This Row],[prospet]]=0,0,Tableau3[[#This Row],[Ventes]]/Tableau3[[#This Row],[prospet]])</f>
        <v>0</v>
      </c>
      <c r="K684">
        <v>3947053</v>
      </c>
    </row>
    <row r="685" spans="1:11" hidden="1" x14ac:dyDescent="0.3">
      <c r="A685" s="1">
        <v>46195</v>
      </c>
      <c r="B685" t="s">
        <v>84</v>
      </c>
      <c r="C685" t="s">
        <v>96</v>
      </c>
      <c r="D685" t="s">
        <v>84</v>
      </c>
      <c r="E685">
        <v>46</v>
      </c>
      <c r="F685">
        <v>7</v>
      </c>
      <c r="G685" s="2">
        <v>2.96</v>
      </c>
      <c r="H685">
        <f>8500+25000+16000</f>
        <v>49500</v>
      </c>
      <c r="I685">
        <f>2500+3000+4000</f>
        <v>9500</v>
      </c>
      <c r="J685" s="8">
        <f>IF(Tableau3[[#This Row],[prospet]]=0,0,Tableau3[[#This Row],[Ventes]]/Tableau3[[#This Row],[prospet]])</f>
        <v>0.15217391304347827</v>
      </c>
      <c r="K685">
        <v>4587817</v>
      </c>
    </row>
    <row r="686" spans="1:11" hidden="1" x14ac:dyDescent="0.3">
      <c r="A686" s="1">
        <v>46195</v>
      </c>
      <c r="B686" t="s">
        <v>98</v>
      </c>
      <c r="C686" t="s">
        <v>99</v>
      </c>
      <c r="D686" t="s">
        <v>98</v>
      </c>
      <c r="F686">
        <v>3</v>
      </c>
      <c r="H686">
        <f>8500+25000</f>
        <v>33500</v>
      </c>
      <c r="I686">
        <f>2500+1500+2500</f>
        <v>6500</v>
      </c>
      <c r="J686" s="8">
        <f>IF(Tableau3[[#This Row],[prospet]]=0,0,Tableau3[[#This Row],[Ventes]]/Tableau3[[#This Row],[prospet]])</f>
        <v>0</v>
      </c>
      <c r="K686">
        <v>3330821</v>
      </c>
    </row>
    <row r="687" spans="1:11" hidden="1" x14ac:dyDescent="0.3">
      <c r="A687" s="1">
        <v>46195</v>
      </c>
      <c r="B687" t="s">
        <v>109</v>
      </c>
      <c r="C687" t="s">
        <v>110</v>
      </c>
      <c r="D687" t="s">
        <v>109</v>
      </c>
      <c r="F687">
        <v>2</v>
      </c>
      <c r="H687">
        <f>4000+12500</f>
        <v>16500</v>
      </c>
      <c r="J687" s="8">
        <f>IF(Tableau3[[#This Row],[prospet]]=0,0,Tableau3[[#This Row],[Ventes]]/Tableau3[[#This Row],[prospet]])</f>
        <v>0</v>
      </c>
      <c r="K687">
        <v>4090831</v>
      </c>
    </row>
    <row r="688" spans="1:11" hidden="1" x14ac:dyDescent="0.3">
      <c r="A688" s="1">
        <v>46195</v>
      </c>
      <c r="B688" t="s">
        <v>111</v>
      </c>
      <c r="C688" t="s">
        <v>138</v>
      </c>
      <c r="D688" t="s">
        <v>115</v>
      </c>
      <c r="E688">
        <v>15</v>
      </c>
      <c r="G688" s="2">
        <v>1.72</v>
      </c>
      <c r="I688">
        <f>2500+1000</f>
        <v>3500</v>
      </c>
      <c r="J688" s="8">
        <f>IF(Tableau3[[#This Row],[prospet]]=0,0,Tableau3[[#This Row],[Ventes]]/Tableau3[[#This Row],[prospet]])</f>
        <v>0</v>
      </c>
      <c r="K688">
        <v>4209873</v>
      </c>
    </row>
    <row r="689" spans="1:11" hidden="1" x14ac:dyDescent="0.3">
      <c r="A689" s="1">
        <v>46195</v>
      </c>
      <c r="B689" t="s">
        <v>112</v>
      </c>
      <c r="C689" t="s">
        <v>138</v>
      </c>
      <c r="D689" t="s">
        <v>113</v>
      </c>
      <c r="E689">
        <v>10</v>
      </c>
      <c r="F689">
        <v>2</v>
      </c>
      <c r="G689" s="2">
        <v>1.89</v>
      </c>
      <c r="H689">
        <f>15000+3000</f>
        <v>18000</v>
      </c>
      <c r="J689" s="8">
        <f>IF(Tableau3[[#This Row],[prospet]]=0,0,Tableau3[[#This Row],[Ventes]]/Tableau3[[#This Row],[prospet]])</f>
        <v>0.2</v>
      </c>
      <c r="K689">
        <v>4937885</v>
      </c>
    </row>
    <row r="690" spans="1:11" hidden="1" x14ac:dyDescent="0.3">
      <c r="A690" s="1">
        <v>46195</v>
      </c>
      <c r="B690" t="s">
        <v>152</v>
      </c>
      <c r="D690" t="s">
        <v>152</v>
      </c>
      <c r="E690">
        <v>32</v>
      </c>
      <c r="G690" s="2">
        <v>2.25</v>
      </c>
      <c r="J690" s="8">
        <f>IF(Tableau3[[#This Row],[prospet]]=0,0,Tableau3[[#This Row],[Ventes]]/Tableau3[[#This Row],[prospet]])</f>
        <v>0</v>
      </c>
      <c r="K690">
        <v>4476670</v>
      </c>
    </row>
    <row r="691" spans="1:11" hidden="1" x14ac:dyDescent="0.3">
      <c r="A691" s="1">
        <v>46196</v>
      </c>
      <c r="B691" t="s">
        <v>16</v>
      </c>
      <c r="C691" t="s">
        <v>85</v>
      </c>
      <c r="D691" t="s">
        <v>18</v>
      </c>
      <c r="E691">
        <v>39</v>
      </c>
      <c r="F691">
        <v>8</v>
      </c>
      <c r="G691" s="2">
        <v>2.83</v>
      </c>
      <c r="H691">
        <f>37500+20000</f>
        <v>57500</v>
      </c>
      <c r="I691">
        <f>4500+5000</f>
        <v>9500</v>
      </c>
      <c r="J691" s="8">
        <f>IF(Tableau3[[#This Row],[prospet]]=0,0,Tableau3[[#This Row],[Ventes]]/Tableau3[[#This Row],[prospet]])</f>
        <v>0.20512820512820512</v>
      </c>
      <c r="K691">
        <v>4316190</v>
      </c>
    </row>
    <row r="692" spans="1:11" hidden="1" x14ac:dyDescent="0.3">
      <c r="A692" s="1">
        <v>46196</v>
      </c>
      <c r="B692" t="s">
        <v>9</v>
      </c>
      <c r="C692" t="s">
        <v>86</v>
      </c>
      <c r="D692" t="s">
        <v>13</v>
      </c>
      <c r="E692">
        <v>17</v>
      </c>
      <c r="F692">
        <v>3</v>
      </c>
      <c r="G692" s="2">
        <v>2.72</v>
      </c>
      <c r="H692">
        <f>8000+12500</f>
        <v>20500</v>
      </c>
      <c r="I692">
        <v>3500</v>
      </c>
      <c r="J692" s="8">
        <f>IF(Tableau3[[#This Row],[prospet]]=0,0,Tableau3[[#This Row],[Ventes]]/Tableau3[[#This Row],[prospet]])</f>
        <v>0.17647058823529413</v>
      </c>
      <c r="K692">
        <v>4554529</v>
      </c>
    </row>
    <row r="693" spans="1:11" hidden="1" x14ac:dyDescent="0.3">
      <c r="A693" s="1">
        <v>46196</v>
      </c>
      <c r="B693" t="s">
        <v>43</v>
      </c>
      <c r="C693" t="s">
        <v>11</v>
      </c>
      <c r="D693" t="s">
        <v>43</v>
      </c>
      <c r="E693">
        <v>14</v>
      </c>
      <c r="F693">
        <v>3</v>
      </c>
      <c r="G693" s="2">
        <v>3.21</v>
      </c>
      <c r="H693">
        <f>4000+15000+8500</f>
        <v>27500</v>
      </c>
      <c r="I693">
        <f>1000+2500+2500</f>
        <v>6000</v>
      </c>
      <c r="J693" s="8">
        <f>IF(Tableau3[[#This Row],[prospet]]=0,0,Tableau3[[#This Row],[Ventes]]/Tableau3[[#This Row],[prospet]])</f>
        <v>0.21428571428571427</v>
      </c>
      <c r="K693">
        <v>4348553</v>
      </c>
    </row>
    <row r="694" spans="1:11" hidden="1" x14ac:dyDescent="0.3">
      <c r="A694" s="1">
        <v>46196</v>
      </c>
      <c r="B694" t="s">
        <v>30</v>
      </c>
      <c r="C694" t="s">
        <v>88</v>
      </c>
      <c r="D694" t="s">
        <v>30</v>
      </c>
      <c r="E694">
        <v>2</v>
      </c>
      <c r="F694">
        <v>1</v>
      </c>
      <c r="G694" s="2">
        <v>0.09</v>
      </c>
      <c r="H694">
        <v>4000</v>
      </c>
      <c r="I694">
        <v>1000</v>
      </c>
      <c r="J694" s="8">
        <f>IF(Tableau3[[#This Row],[prospet]]=0,0,Tableau3[[#This Row],[Ventes]]/Tableau3[[#This Row],[prospet]])</f>
        <v>0.5</v>
      </c>
      <c r="K694">
        <v>4586158</v>
      </c>
    </row>
    <row r="695" spans="1:11" hidden="1" x14ac:dyDescent="0.3">
      <c r="A695" s="1">
        <v>46196</v>
      </c>
      <c r="B695" t="s">
        <v>3</v>
      </c>
      <c r="C695" t="s">
        <v>89</v>
      </c>
      <c r="D695" t="s">
        <v>3</v>
      </c>
      <c r="E695">
        <v>13</v>
      </c>
      <c r="F695">
        <v>1</v>
      </c>
      <c r="G695" s="2">
        <v>3.02</v>
      </c>
      <c r="H695">
        <v>9000</v>
      </c>
      <c r="I695">
        <v>2500</v>
      </c>
      <c r="J695" s="8">
        <f>IF(Tableau3[[#This Row],[prospet]]=0,0,Tableau3[[#This Row],[Ventes]]/Tableau3[[#This Row],[prospet]])</f>
        <v>7.6923076923076927E-2</v>
      </c>
      <c r="K695">
        <v>4561858</v>
      </c>
    </row>
    <row r="696" spans="1:11" hidden="1" x14ac:dyDescent="0.3">
      <c r="A696" s="1">
        <v>46196</v>
      </c>
      <c r="B696" t="s">
        <v>60</v>
      </c>
      <c r="C696" t="s">
        <v>85</v>
      </c>
      <c r="D696" t="s">
        <v>61</v>
      </c>
      <c r="E696">
        <v>10</v>
      </c>
      <c r="G696" s="2">
        <v>1.87</v>
      </c>
      <c r="J696" s="8">
        <f>IF(Tableau3[[#This Row],[prospet]]=0,0,Tableau3[[#This Row],[Ventes]]/Tableau3[[#This Row],[prospet]])</f>
        <v>0</v>
      </c>
      <c r="K696">
        <v>4587211</v>
      </c>
    </row>
    <row r="697" spans="1:11" hidden="1" x14ac:dyDescent="0.3">
      <c r="A697" s="1">
        <v>46196</v>
      </c>
      <c r="B697" t="s">
        <v>62</v>
      </c>
      <c r="C697" t="s">
        <v>90</v>
      </c>
      <c r="D697" t="s">
        <v>62</v>
      </c>
      <c r="E697">
        <v>30</v>
      </c>
      <c r="F697">
        <v>1</v>
      </c>
      <c r="G697" s="2">
        <v>3.22</v>
      </c>
      <c r="H697">
        <v>4000</v>
      </c>
      <c r="I697">
        <v>1000</v>
      </c>
      <c r="J697" s="8">
        <f>IF(Tableau3[[#This Row],[prospet]]=0,0,Tableau3[[#This Row],[Ventes]]/Tableau3[[#This Row],[prospet]])</f>
        <v>3.3333333333333333E-2</v>
      </c>
      <c r="K697">
        <v>4221767</v>
      </c>
    </row>
    <row r="698" spans="1:11" hidden="1" x14ac:dyDescent="0.3">
      <c r="A698" s="1">
        <v>46196</v>
      </c>
      <c r="B698" t="s">
        <v>63</v>
      </c>
      <c r="C698" t="s">
        <v>91</v>
      </c>
      <c r="D698" t="s">
        <v>154</v>
      </c>
      <c r="J698" s="8">
        <f>IF(Tableau3[[#This Row],[prospet]]=0,0,Tableau3[[#This Row],[Ventes]]/Tableau3[[#This Row],[prospet]])</f>
        <v>0</v>
      </c>
      <c r="K698">
        <v>4463888</v>
      </c>
    </row>
    <row r="699" spans="1:11" hidden="1" x14ac:dyDescent="0.3">
      <c r="A699" s="1">
        <v>46196</v>
      </c>
      <c r="B699" t="s">
        <v>64</v>
      </c>
      <c r="D699" t="s">
        <v>64</v>
      </c>
      <c r="J699" s="8">
        <f>IF(Tableau3[[#This Row],[prospet]]=0,0,Tableau3[[#This Row],[Ventes]]/Tableau3[[#This Row],[prospet]])</f>
        <v>0</v>
      </c>
      <c r="K699">
        <v>4080782</v>
      </c>
    </row>
    <row r="700" spans="1:11" hidden="1" x14ac:dyDescent="0.3">
      <c r="A700" s="1">
        <v>46196</v>
      </c>
      <c r="B700" t="s">
        <v>81</v>
      </c>
      <c r="C700" t="s">
        <v>92</v>
      </c>
      <c r="D700" t="s">
        <v>81</v>
      </c>
      <c r="E700">
        <v>8</v>
      </c>
      <c r="F700">
        <v>2</v>
      </c>
      <c r="G700" s="2">
        <v>2.1800000000000002</v>
      </c>
      <c r="H700">
        <f>12500+4000</f>
        <v>16500</v>
      </c>
      <c r="I700">
        <f>1000+1500</f>
        <v>2500</v>
      </c>
      <c r="J700" s="8">
        <f>IF(Tableau3[[#This Row],[prospet]]=0,0,Tableau3[[#This Row],[Ventes]]/Tableau3[[#This Row],[prospet]])</f>
        <v>0.25</v>
      </c>
      <c r="K700">
        <v>4559847</v>
      </c>
    </row>
    <row r="701" spans="1:11" hidden="1" x14ac:dyDescent="0.3">
      <c r="A701" s="1">
        <v>46196</v>
      </c>
      <c r="B701" t="s">
        <v>82</v>
      </c>
      <c r="C701" t="s">
        <v>11</v>
      </c>
      <c r="D701" t="s">
        <v>82</v>
      </c>
      <c r="J701" s="8">
        <f>IF(Tableau3[[#This Row],[prospet]]=0,0,Tableau3[[#This Row],[Ventes]]/Tableau3[[#This Row],[prospet]])</f>
        <v>0</v>
      </c>
      <c r="K701">
        <v>4541035</v>
      </c>
    </row>
    <row r="702" spans="1:11" hidden="1" x14ac:dyDescent="0.3">
      <c r="A702" s="1">
        <v>46196</v>
      </c>
      <c r="B702" t="s">
        <v>97</v>
      </c>
      <c r="C702" t="s">
        <v>93</v>
      </c>
      <c r="D702" t="s">
        <v>97</v>
      </c>
      <c r="E702">
        <v>19</v>
      </c>
      <c r="F702">
        <v>1</v>
      </c>
      <c r="G702" s="2">
        <v>2.2599999999999998</v>
      </c>
      <c r="H702">
        <v>4000</v>
      </c>
      <c r="I702">
        <v>1000</v>
      </c>
      <c r="J702" s="8">
        <f>IF(Tableau3[[#This Row],[prospet]]=0,0,Tableau3[[#This Row],[Ventes]]/Tableau3[[#This Row],[prospet]])</f>
        <v>5.2631578947368418E-2</v>
      </c>
      <c r="K702">
        <v>4636761</v>
      </c>
    </row>
    <row r="703" spans="1:11" hidden="1" x14ac:dyDescent="0.3">
      <c r="A703" s="1">
        <v>46196</v>
      </c>
      <c r="B703" t="s">
        <v>80</v>
      </c>
      <c r="C703" t="s">
        <v>94</v>
      </c>
      <c r="D703" t="s">
        <v>155</v>
      </c>
      <c r="E703">
        <v>27</v>
      </c>
      <c r="G703" s="2">
        <v>3.51</v>
      </c>
      <c r="J703" s="8">
        <f>IF(Tableau3[[#This Row],[prospet]]=0,0,Tableau3[[#This Row],[Ventes]]/Tableau3[[#This Row],[prospet]])</f>
        <v>0</v>
      </c>
      <c r="K703">
        <v>4636772</v>
      </c>
    </row>
    <row r="704" spans="1:11" hidden="1" x14ac:dyDescent="0.3">
      <c r="A704" s="1">
        <v>46196</v>
      </c>
      <c r="B704" t="s">
        <v>83</v>
      </c>
      <c r="C704" t="s">
        <v>95</v>
      </c>
      <c r="D704" t="s">
        <v>83</v>
      </c>
      <c r="J704" s="8">
        <f>IF(Tableau3[[#This Row],[prospet]]=0,0,Tableau3[[#This Row],[Ventes]]/Tableau3[[#This Row],[prospet]])</f>
        <v>0</v>
      </c>
      <c r="K704">
        <v>3947053</v>
      </c>
    </row>
    <row r="705" spans="1:11" hidden="1" x14ac:dyDescent="0.3">
      <c r="A705" s="1">
        <v>46196</v>
      </c>
      <c r="B705" t="s">
        <v>84</v>
      </c>
      <c r="C705" t="s">
        <v>96</v>
      </c>
      <c r="D705" t="s">
        <v>84</v>
      </c>
      <c r="E705">
        <v>24</v>
      </c>
      <c r="F705">
        <v>5</v>
      </c>
      <c r="G705" s="2">
        <v>2.82</v>
      </c>
      <c r="H705">
        <f>20000</f>
        <v>20000</v>
      </c>
      <c r="I705">
        <v>5000</v>
      </c>
      <c r="J705" s="8">
        <f>IF(Tableau3[[#This Row],[prospet]]=0,0,Tableau3[[#This Row],[Ventes]]/Tableau3[[#This Row],[prospet]])</f>
        <v>0.20833333333333334</v>
      </c>
      <c r="K705">
        <v>4587817</v>
      </c>
    </row>
    <row r="706" spans="1:11" hidden="1" x14ac:dyDescent="0.3">
      <c r="A706" s="1">
        <v>46196</v>
      </c>
      <c r="B706" t="s">
        <v>98</v>
      </c>
      <c r="C706" t="s">
        <v>99</v>
      </c>
      <c r="D706" t="s">
        <v>98</v>
      </c>
      <c r="E706">
        <v>2</v>
      </c>
      <c r="F706">
        <v>2</v>
      </c>
      <c r="H706">
        <f>8500+4000</f>
        <v>12500</v>
      </c>
      <c r="I706">
        <f>1000+2500</f>
        <v>3500</v>
      </c>
      <c r="J706" s="8">
        <f>IF(Tableau3[[#This Row],[prospet]]=0,0,Tableau3[[#This Row],[Ventes]]/Tableau3[[#This Row],[prospet]])</f>
        <v>1</v>
      </c>
      <c r="K706">
        <v>3330821</v>
      </c>
    </row>
    <row r="707" spans="1:11" hidden="1" x14ac:dyDescent="0.3">
      <c r="A707" s="1">
        <v>46196</v>
      </c>
      <c r="B707" t="s">
        <v>111</v>
      </c>
      <c r="C707" t="s">
        <v>138</v>
      </c>
      <c r="D707" t="s">
        <v>115</v>
      </c>
      <c r="E707">
        <v>17</v>
      </c>
      <c r="G707" s="2">
        <v>2.2000000000000002</v>
      </c>
      <c r="J707" s="8">
        <f>IF(Tableau3[[#This Row],[prospet]]=0,0,Tableau3[[#This Row],[Ventes]]/Tableau3[[#This Row],[prospet]])</f>
        <v>0</v>
      </c>
      <c r="K707">
        <v>4209873</v>
      </c>
    </row>
    <row r="708" spans="1:11" hidden="1" x14ac:dyDescent="0.3">
      <c r="A708" s="1">
        <v>46196</v>
      </c>
      <c r="B708" t="s">
        <v>112</v>
      </c>
      <c r="C708" t="s">
        <v>138</v>
      </c>
      <c r="D708" t="s">
        <v>113</v>
      </c>
      <c r="E708">
        <v>9</v>
      </c>
      <c r="F708">
        <v>1</v>
      </c>
      <c r="G708" s="2">
        <v>2.0099999999999998</v>
      </c>
      <c r="H708">
        <v>4000</v>
      </c>
      <c r="I708">
        <v>1000</v>
      </c>
      <c r="J708" s="8">
        <f>IF(Tableau3[[#This Row],[prospet]]=0,0,Tableau3[[#This Row],[Ventes]]/Tableau3[[#This Row],[prospet]])</f>
        <v>0.1111111111111111</v>
      </c>
      <c r="K708">
        <v>4937885</v>
      </c>
    </row>
    <row r="709" spans="1:11" hidden="1" x14ac:dyDescent="0.3">
      <c r="A709" s="1">
        <v>46196</v>
      </c>
      <c r="B709" t="s">
        <v>152</v>
      </c>
      <c r="D709" t="s">
        <v>152</v>
      </c>
      <c r="J709" s="8">
        <f>IF(Tableau3[[#This Row],[prospet]]=0,0,Tableau3[[#This Row],[Ventes]]/Tableau3[[#This Row],[prospet]])</f>
        <v>0</v>
      </c>
      <c r="K709">
        <v>4476670</v>
      </c>
    </row>
    <row r="710" spans="1:11" hidden="1" x14ac:dyDescent="0.3">
      <c r="A710" s="1">
        <v>46197</v>
      </c>
      <c r="B710" t="s">
        <v>16</v>
      </c>
      <c r="C710" t="s">
        <v>85</v>
      </c>
      <c r="D710" t="s">
        <v>18</v>
      </c>
      <c r="E710">
        <v>22</v>
      </c>
      <c r="F710">
        <v>2</v>
      </c>
      <c r="G710" s="2">
        <v>2.13</v>
      </c>
      <c r="H710">
        <f>15000+4000</f>
        <v>19000</v>
      </c>
      <c r="I710">
        <v>3500</v>
      </c>
      <c r="J710" s="8">
        <f>IF(Tableau3[[#This Row],[prospet]]=0,0,Tableau3[[#This Row],[Ventes]]/Tableau3[[#This Row],[prospet]])</f>
        <v>9.0909090909090912E-2</v>
      </c>
      <c r="K710">
        <v>4316190</v>
      </c>
    </row>
    <row r="711" spans="1:11" hidden="1" x14ac:dyDescent="0.3">
      <c r="A711" s="1">
        <v>46197</v>
      </c>
      <c r="B711" t="s">
        <v>9</v>
      </c>
      <c r="C711" t="s">
        <v>86</v>
      </c>
      <c r="D711" t="s">
        <v>13</v>
      </c>
      <c r="E711">
        <v>22</v>
      </c>
      <c r="F711">
        <v>2</v>
      </c>
      <c r="G711" s="2">
        <v>2.41</v>
      </c>
      <c r="H711">
        <f>12500+4000</f>
        <v>16500</v>
      </c>
      <c r="I711">
        <f>1500+1000</f>
        <v>2500</v>
      </c>
      <c r="J711" s="8">
        <f>IF(Tableau3[[#This Row],[prospet]]=0,0,Tableau3[[#This Row],[Ventes]]/Tableau3[[#This Row],[prospet]])</f>
        <v>9.0909090909090912E-2</v>
      </c>
      <c r="K711">
        <v>4554529</v>
      </c>
    </row>
    <row r="712" spans="1:11" hidden="1" x14ac:dyDescent="0.3">
      <c r="A712" s="1">
        <v>46197</v>
      </c>
      <c r="B712" t="s">
        <v>43</v>
      </c>
      <c r="C712" t="s">
        <v>11</v>
      </c>
      <c r="D712" t="s">
        <v>43</v>
      </c>
      <c r="E712">
        <v>23</v>
      </c>
      <c r="G712" s="2">
        <v>2.08</v>
      </c>
      <c r="J712" s="8">
        <f>IF(Tableau3[[#This Row],[prospet]]=0,0,Tableau3[[#This Row],[Ventes]]/Tableau3[[#This Row],[prospet]])</f>
        <v>0</v>
      </c>
      <c r="K712">
        <v>4348553</v>
      </c>
    </row>
    <row r="713" spans="1:11" hidden="1" x14ac:dyDescent="0.3">
      <c r="A713" s="1">
        <v>46197</v>
      </c>
      <c r="B713" t="s">
        <v>30</v>
      </c>
      <c r="C713" t="s">
        <v>88</v>
      </c>
      <c r="D713" t="s">
        <v>30</v>
      </c>
      <c r="E713">
        <v>23</v>
      </c>
      <c r="F713">
        <v>1</v>
      </c>
      <c r="G713" s="2">
        <v>2.23</v>
      </c>
      <c r="H713">
        <v>12500</v>
      </c>
      <c r="I713">
        <v>1500</v>
      </c>
      <c r="J713" s="8">
        <f>IF(Tableau3[[#This Row],[prospet]]=0,0,Tableau3[[#This Row],[Ventes]]/Tableau3[[#This Row],[prospet]])</f>
        <v>4.3478260869565216E-2</v>
      </c>
      <c r="K713">
        <v>4586158</v>
      </c>
    </row>
    <row r="714" spans="1:11" hidden="1" x14ac:dyDescent="0.3">
      <c r="A714" s="1">
        <v>46197</v>
      </c>
      <c r="B714" t="s">
        <v>3</v>
      </c>
      <c r="C714" t="s">
        <v>89</v>
      </c>
      <c r="D714" t="s">
        <v>3</v>
      </c>
      <c r="E714">
        <v>1</v>
      </c>
      <c r="G714" s="2">
        <v>0.18</v>
      </c>
      <c r="J714" s="8">
        <f>IF(Tableau3[[#This Row],[prospet]]=0,0,Tableau3[[#This Row],[Ventes]]/Tableau3[[#This Row],[prospet]])</f>
        <v>0</v>
      </c>
      <c r="K714">
        <v>4561858</v>
      </c>
    </row>
    <row r="715" spans="1:11" hidden="1" x14ac:dyDescent="0.3">
      <c r="A715" s="1">
        <v>46197</v>
      </c>
      <c r="B715" t="s">
        <v>60</v>
      </c>
      <c r="C715" t="s">
        <v>85</v>
      </c>
      <c r="D715" t="s">
        <v>61</v>
      </c>
      <c r="J715" s="8">
        <f>IF(Tableau3[[#This Row],[prospet]]=0,0,Tableau3[[#This Row],[Ventes]]/Tableau3[[#This Row],[prospet]])</f>
        <v>0</v>
      </c>
      <c r="K715">
        <v>4587211</v>
      </c>
    </row>
    <row r="716" spans="1:11" hidden="1" x14ac:dyDescent="0.3">
      <c r="A716" s="1">
        <v>46197</v>
      </c>
      <c r="B716" t="s">
        <v>62</v>
      </c>
      <c r="C716" t="s">
        <v>90</v>
      </c>
      <c r="D716" t="s">
        <v>62</v>
      </c>
      <c r="E716">
        <v>16</v>
      </c>
      <c r="G716" s="2">
        <v>2.0699999999999998</v>
      </c>
      <c r="J716" s="8">
        <f>IF(Tableau3[[#This Row],[prospet]]=0,0,Tableau3[[#This Row],[Ventes]]/Tableau3[[#This Row],[prospet]])</f>
        <v>0</v>
      </c>
      <c r="K716">
        <v>4221767</v>
      </c>
    </row>
    <row r="717" spans="1:11" hidden="1" x14ac:dyDescent="0.3">
      <c r="A717" s="1">
        <v>46197</v>
      </c>
      <c r="B717" t="s">
        <v>63</v>
      </c>
      <c r="C717" t="s">
        <v>91</v>
      </c>
      <c r="D717" t="s">
        <v>154</v>
      </c>
      <c r="F717">
        <v>1</v>
      </c>
      <c r="H717">
        <v>15000</v>
      </c>
      <c r="I717">
        <v>2500</v>
      </c>
      <c r="J717" s="8">
        <f>IF(Tableau3[[#This Row],[prospet]]=0,0,Tableau3[[#This Row],[Ventes]]/Tableau3[[#This Row],[prospet]])</f>
        <v>0</v>
      </c>
      <c r="K717">
        <v>4463888</v>
      </c>
    </row>
    <row r="718" spans="1:11" hidden="1" x14ac:dyDescent="0.3">
      <c r="A718" s="1">
        <v>46197</v>
      </c>
      <c r="B718" t="s">
        <v>64</v>
      </c>
      <c r="D718" t="s">
        <v>64</v>
      </c>
      <c r="J718" s="8">
        <f>IF(Tableau3[[#This Row],[prospet]]=0,0,Tableau3[[#This Row],[Ventes]]/Tableau3[[#This Row],[prospet]])</f>
        <v>0</v>
      </c>
      <c r="K718">
        <v>4080782</v>
      </c>
    </row>
    <row r="719" spans="1:11" hidden="1" x14ac:dyDescent="0.3">
      <c r="A719" s="1">
        <v>46197</v>
      </c>
      <c r="B719" t="s">
        <v>81</v>
      </c>
      <c r="C719" t="s">
        <v>92</v>
      </c>
      <c r="D719" t="s">
        <v>81</v>
      </c>
      <c r="E719">
        <v>11</v>
      </c>
      <c r="G719" s="2">
        <v>1.89</v>
      </c>
      <c r="J719" s="8">
        <f>IF(Tableau3[[#This Row],[prospet]]=0,0,Tableau3[[#This Row],[Ventes]]/Tableau3[[#This Row],[prospet]])</f>
        <v>0</v>
      </c>
      <c r="K719">
        <v>4559847</v>
      </c>
    </row>
    <row r="720" spans="1:11" hidden="1" x14ac:dyDescent="0.3">
      <c r="A720" s="1">
        <v>46197</v>
      </c>
      <c r="B720" t="s">
        <v>82</v>
      </c>
      <c r="C720" t="s">
        <v>11</v>
      </c>
      <c r="D720" t="s">
        <v>82</v>
      </c>
      <c r="J720" s="8">
        <f>IF(Tableau3[[#This Row],[prospet]]=0,0,Tableau3[[#This Row],[Ventes]]/Tableau3[[#This Row],[prospet]])</f>
        <v>0</v>
      </c>
      <c r="K720">
        <v>4541035</v>
      </c>
    </row>
    <row r="721" spans="1:11" hidden="1" x14ac:dyDescent="0.3">
      <c r="A721" s="1">
        <v>46197</v>
      </c>
      <c r="B721" t="s">
        <v>97</v>
      </c>
      <c r="C721" t="s">
        <v>93</v>
      </c>
      <c r="D721" t="s">
        <v>97</v>
      </c>
      <c r="E721">
        <v>25</v>
      </c>
      <c r="G721" s="2">
        <v>2.16</v>
      </c>
      <c r="J721" s="8">
        <f>IF(Tableau3[[#This Row],[prospet]]=0,0,Tableau3[[#This Row],[Ventes]]/Tableau3[[#This Row],[prospet]])</f>
        <v>0</v>
      </c>
      <c r="K721">
        <v>4636761</v>
      </c>
    </row>
    <row r="722" spans="1:11" hidden="1" x14ac:dyDescent="0.3">
      <c r="A722" s="1">
        <v>46197</v>
      </c>
      <c r="B722" t="s">
        <v>80</v>
      </c>
      <c r="C722" t="s">
        <v>94</v>
      </c>
      <c r="D722" t="s">
        <v>155</v>
      </c>
      <c r="E722">
        <v>21</v>
      </c>
      <c r="F722">
        <v>4</v>
      </c>
      <c r="G722" s="2">
        <v>2.31</v>
      </c>
      <c r="H722">
        <f>30000+4000+12500</f>
        <v>46500</v>
      </c>
      <c r="I722">
        <f>7500</f>
        <v>7500</v>
      </c>
      <c r="J722" s="8">
        <f>IF(Tableau3[[#This Row],[prospet]]=0,0,Tableau3[[#This Row],[Ventes]]/Tableau3[[#This Row],[prospet]])</f>
        <v>0.19047619047619047</v>
      </c>
      <c r="K722">
        <v>4636772</v>
      </c>
    </row>
    <row r="723" spans="1:11" hidden="1" x14ac:dyDescent="0.3">
      <c r="A723" s="1">
        <v>46197</v>
      </c>
      <c r="B723" t="s">
        <v>83</v>
      </c>
      <c r="C723" t="s">
        <v>95</v>
      </c>
      <c r="D723" t="s">
        <v>83</v>
      </c>
      <c r="J723" s="8">
        <f>IF(Tableau3[[#This Row],[prospet]]=0,0,Tableau3[[#This Row],[Ventes]]/Tableau3[[#This Row],[prospet]])</f>
        <v>0</v>
      </c>
      <c r="K723">
        <v>3947053</v>
      </c>
    </row>
    <row r="724" spans="1:11" hidden="1" x14ac:dyDescent="0.3">
      <c r="A724" s="1">
        <v>46197</v>
      </c>
      <c r="B724" t="s">
        <v>84</v>
      </c>
      <c r="C724" t="s">
        <v>96</v>
      </c>
      <c r="D724" t="s">
        <v>84</v>
      </c>
      <c r="E724">
        <v>17</v>
      </c>
      <c r="G724" s="2">
        <v>2.2200000000000002</v>
      </c>
      <c r="J724" s="8">
        <f>IF(Tableau3[[#This Row],[prospet]]=0,0,Tableau3[[#This Row],[Ventes]]/Tableau3[[#This Row],[prospet]])</f>
        <v>0</v>
      </c>
      <c r="K724">
        <v>4587817</v>
      </c>
    </row>
    <row r="725" spans="1:11" hidden="1" x14ac:dyDescent="0.3">
      <c r="A725" s="1">
        <v>46197</v>
      </c>
      <c r="B725" t="s">
        <v>98</v>
      </c>
      <c r="C725" t="s">
        <v>99</v>
      </c>
      <c r="D725" t="s">
        <v>98</v>
      </c>
      <c r="J725" s="8">
        <f>IF(Tableau3[[#This Row],[prospet]]=0,0,Tableau3[[#This Row],[Ventes]]/Tableau3[[#This Row],[prospet]])</f>
        <v>0</v>
      </c>
      <c r="K725">
        <v>3330821</v>
      </c>
    </row>
    <row r="726" spans="1:11" hidden="1" x14ac:dyDescent="0.3">
      <c r="A726" s="1">
        <v>46197</v>
      </c>
      <c r="B726" t="s">
        <v>111</v>
      </c>
      <c r="C726" t="s">
        <v>138</v>
      </c>
      <c r="D726" t="s">
        <v>115</v>
      </c>
      <c r="E726">
        <v>15</v>
      </c>
      <c r="F726">
        <v>1</v>
      </c>
      <c r="G726" s="2">
        <v>1.91</v>
      </c>
      <c r="H726">
        <v>4000</v>
      </c>
      <c r="I726">
        <v>1000</v>
      </c>
      <c r="J726" s="8">
        <f>IF(Tableau3[[#This Row],[prospet]]=0,0,Tableau3[[#This Row],[Ventes]]/Tableau3[[#This Row],[prospet]])</f>
        <v>6.6666666666666666E-2</v>
      </c>
      <c r="K726">
        <v>4209873</v>
      </c>
    </row>
    <row r="727" spans="1:11" hidden="1" x14ac:dyDescent="0.3">
      <c r="A727" s="1">
        <v>46197</v>
      </c>
      <c r="B727" t="s">
        <v>112</v>
      </c>
      <c r="C727" t="s">
        <v>138</v>
      </c>
      <c r="D727" t="s">
        <v>113</v>
      </c>
      <c r="E727">
        <v>7</v>
      </c>
      <c r="G727" s="2">
        <v>1.91</v>
      </c>
      <c r="J727" s="8">
        <f>IF(Tableau3[[#This Row],[prospet]]=0,0,Tableau3[[#This Row],[Ventes]]/Tableau3[[#This Row],[prospet]])</f>
        <v>0</v>
      </c>
      <c r="K727">
        <v>4937885</v>
      </c>
    </row>
    <row r="728" spans="1:11" hidden="1" x14ac:dyDescent="0.3">
      <c r="A728" s="1">
        <v>46197</v>
      </c>
      <c r="B728" t="s">
        <v>152</v>
      </c>
      <c r="D728" t="s">
        <v>152</v>
      </c>
      <c r="J728" s="8">
        <f>IF(Tableau3[[#This Row],[prospet]]=0,0,Tableau3[[#This Row],[Ventes]]/Tableau3[[#This Row],[prospet]])</f>
        <v>0</v>
      </c>
      <c r="K728">
        <v>4476670</v>
      </c>
    </row>
    <row r="729" spans="1:11" hidden="1" x14ac:dyDescent="0.3">
      <c r="A729" s="1">
        <v>46198</v>
      </c>
      <c r="B729" t="s">
        <v>16</v>
      </c>
      <c r="C729" t="s">
        <v>85</v>
      </c>
      <c r="D729" t="s">
        <v>18</v>
      </c>
      <c r="E729">
        <v>5</v>
      </c>
      <c r="G729" s="2">
        <v>1.28</v>
      </c>
      <c r="J729" s="8">
        <f>IF(Tableau3[[#This Row],[prospet]]=0,0,Tableau3[[#This Row],[Ventes]]/Tableau3[[#This Row],[prospet]])</f>
        <v>0</v>
      </c>
      <c r="K729">
        <v>4316190</v>
      </c>
    </row>
    <row r="730" spans="1:11" hidden="1" x14ac:dyDescent="0.3">
      <c r="A730" s="1">
        <v>46198</v>
      </c>
      <c r="B730" t="s">
        <v>9</v>
      </c>
      <c r="C730" t="s">
        <v>86</v>
      </c>
      <c r="D730" t="s">
        <v>13</v>
      </c>
      <c r="E730">
        <v>8</v>
      </c>
      <c r="F730">
        <v>1</v>
      </c>
      <c r="G730" s="2">
        <v>1.45</v>
      </c>
      <c r="H730">
        <v>15000</v>
      </c>
      <c r="I730">
        <v>2500</v>
      </c>
      <c r="J730" s="8">
        <f>IF(Tableau3[[#This Row],[prospet]]=0,0,Tableau3[[#This Row],[Ventes]]/Tableau3[[#This Row],[prospet]])</f>
        <v>0.125</v>
      </c>
      <c r="K730">
        <v>4554529</v>
      </c>
    </row>
    <row r="731" spans="1:11" hidden="1" x14ac:dyDescent="0.3">
      <c r="A731" s="1">
        <v>46198</v>
      </c>
      <c r="B731" t="s">
        <v>43</v>
      </c>
      <c r="C731" t="s">
        <v>11</v>
      </c>
      <c r="D731" t="s">
        <v>43</v>
      </c>
      <c r="E731">
        <v>5</v>
      </c>
      <c r="G731" s="2">
        <v>1.32</v>
      </c>
      <c r="J731" s="8">
        <f>IF(Tableau3[[#This Row],[prospet]]=0,0,Tableau3[[#This Row],[Ventes]]/Tableau3[[#This Row],[prospet]])</f>
        <v>0</v>
      </c>
      <c r="K731">
        <v>4348553</v>
      </c>
    </row>
    <row r="732" spans="1:11" hidden="1" x14ac:dyDescent="0.3">
      <c r="A732" s="1">
        <v>46198</v>
      </c>
      <c r="B732" t="s">
        <v>30</v>
      </c>
      <c r="C732" t="s">
        <v>88</v>
      </c>
      <c r="D732" t="s">
        <v>30</v>
      </c>
      <c r="E732">
        <v>18</v>
      </c>
      <c r="G732" s="2">
        <v>1.94</v>
      </c>
      <c r="J732" s="8">
        <f>IF(Tableau3[[#This Row],[prospet]]=0,0,Tableau3[[#This Row],[Ventes]]/Tableau3[[#This Row],[prospet]])</f>
        <v>0</v>
      </c>
      <c r="K732">
        <v>4586158</v>
      </c>
    </row>
    <row r="733" spans="1:11" hidden="1" x14ac:dyDescent="0.3">
      <c r="A733" s="1">
        <v>46198</v>
      </c>
      <c r="B733" t="s">
        <v>3</v>
      </c>
      <c r="C733" t="s">
        <v>89</v>
      </c>
      <c r="D733" t="s">
        <v>3</v>
      </c>
      <c r="J733" s="8">
        <f>IF(Tableau3[[#This Row],[prospet]]=0,0,Tableau3[[#This Row],[Ventes]]/Tableau3[[#This Row],[prospet]])</f>
        <v>0</v>
      </c>
      <c r="K733">
        <v>4561858</v>
      </c>
    </row>
    <row r="734" spans="1:11" hidden="1" x14ac:dyDescent="0.3">
      <c r="A734" s="1">
        <v>46198</v>
      </c>
      <c r="B734" t="s">
        <v>60</v>
      </c>
      <c r="C734" t="s">
        <v>85</v>
      </c>
      <c r="D734" t="s">
        <v>61</v>
      </c>
      <c r="J734" s="8">
        <f>IF(Tableau3[[#This Row],[prospet]]=0,0,Tableau3[[#This Row],[Ventes]]/Tableau3[[#This Row],[prospet]])</f>
        <v>0</v>
      </c>
      <c r="K734">
        <v>4587211</v>
      </c>
    </row>
    <row r="735" spans="1:11" hidden="1" x14ac:dyDescent="0.3">
      <c r="A735" s="1">
        <v>46198</v>
      </c>
      <c r="B735" t="s">
        <v>62</v>
      </c>
      <c r="C735" t="s">
        <v>90</v>
      </c>
      <c r="D735" t="s">
        <v>62</v>
      </c>
      <c r="E735">
        <v>12</v>
      </c>
      <c r="G735" s="2">
        <v>1.22</v>
      </c>
      <c r="J735" s="8">
        <f>IF(Tableau3[[#This Row],[prospet]]=0,0,Tableau3[[#This Row],[Ventes]]/Tableau3[[#This Row],[prospet]])</f>
        <v>0</v>
      </c>
      <c r="K735">
        <v>4221767</v>
      </c>
    </row>
    <row r="736" spans="1:11" hidden="1" x14ac:dyDescent="0.3">
      <c r="A736" s="1">
        <v>46198</v>
      </c>
      <c r="B736" t="s">
        <v>63</v>
      </c>
      <c r="C736" t="s">
        <v>91</v>
      </c>
      <c r="D736" t="s">
        <v>154</v>
      </c>
      <c r="F736">
        <v>1</v>
      </c>
      <c r="H736">
        <v>4000</v>
      </c>
      <c r="I736">
        <v>1000</v>
      </c>
      <c r="J736" s="8">
        <f>IF(Tableau3[[#This Row],[prospet]]=0,0,Tableau3[[#This Row],[Ventes]]/Tableau3[[#This Row],[prospet]])</f>
        <v>0</v>
      </c>
      <c r="K736">
        <v>4463888</v>
      </c>
    </row>
    <row r="737" spans="1:11" hidden="1" x14ac:dyDescent="0.3">
      <c r="A737" s="1">
        <v>46198</v>
      </c>
      <c r="B737" t="s">
        <v>64</v>
      </c>
      <c r="D737" t="s">
        <v>64</v>
      </c>
      <c r="J737" s="8">
        <f>IF(Tableau3[[#This Row],[prospet]]=0,0,Tableau3[[#This Row],[Ventes]]/Tableau3[[#This Row],[prospet]])</f>
        <v>0</v>
      </c>
      <c r="K737">
        <v>4080782</v>
      </c>
    </row>
    <row r="738" spans="1:11" hidden="1" x14ac:dyDescent="0.3">
      <c r="A738" s="1">
        <v>46198</v>
      </c>
      <c r="B738" t="s">
        <v>81</v>
      </c>
      <c r="C738" t="s">
        <v>92</v>
      </c>
      <c r="D738" t="s">
        <v>81</v>
      </c>
      <c r="E738">
        <v>15</v>
      </c>
      <c r="F738">
        <v>2</v>
      </c>
      <c r="G738" s="2">
        <v>2.1212</v>
      </c>
      <c r="H738">
        <f>12500+17500</f>
        <v>30000</v>
      </c>
      <c r="I738">
        <f>1500+3500</f>
        <v>5000</v>
      </c>
      <c r="J738" s="8">
        <f>IF(Tableau3[[#This Row],[prospet]]=0,0,Tableau3[[#This Row],[Ventes]]/Tableau3[[#This Row],[prospet]])</f>
        <v>0.13333333333333333</v>
      </c>
      <c r="K738">
        <v>4559847</v>
      </c>
    </row>
    <row r="739" spans="1:11" hidden="1" x14ac:dyDescent="0.3">
      <c r="A739" s="1">
        <v>46198</v>
      </c>
      <c r="B739" t="s">
        <v>82</v>
      </c>
      <c r="C739" t="s">
        <v>11</v>
      </c>
      <c r="D739" t="s">
        <v>82</v>
      </c>
      <c r="J739" s="8">
        <f>IF(Tableau3[[#This Row],[prospet]]=0,0,Tableau3[[#This Row],[Ventes]]/Tableau3[[#This Row],[prospet]])</f>
        <v>0</v>
      </c>
      <c r="K739">
        <v>4541035</v>
      </c>
    </row>
    <row r="740" spans="1:11" hidden="1" x14ac:dyDescent="0.3">
      <c r="A740" s="1">
        <v>46198</v>
      </c>
      <c r="B740" t="s">
        <v>97</v>
      </c>
      <c r="C740" t="s">
        <v>93</v>
      </c>
      <c r="D740" t="s">
        <v>97</v>
      </c>
      <c r="E740">
        <v>19</v>
      </c>
      <c r="F740">
        <v>4</v>
      </c>
      <c r="G740" s="2">
        <v>1.9</v>
      </c>
      <c r="H740">
        <f>15000+8000+11000</f>
        <v>34000</v>
      </c>
      <c r="I740">
        <f>2500+2000+1500</f>
        <v>6000</v>
      </c>
      <c r="J740" s="8">
        <f>IF(Tableau3[[#This Row],[prospet]]=0,0,Tableau3[[#This Row],[Ventes]]/Tableau3[[#This Row],[prospet]])</f>
        <v>0.21052631578947367</v>
      </c>
      <c r="K740">
        <v>4636761</v>
      </c>
    </row>
    <row r="741" spans="1:11" hidden="1" x14ac:dyDescent="0.3">
      <c r="A741" s="1">
        <v>46198</v>
      </c>
      <c r="B741" t="s">
        <v>80</v>
      </c>
      <c r="C741" t="s">
        <v>94</v>
      </c>
      <c r="D741" t="s">
        <v>155</v>
      </c>
      <c r="E741">
        <v>10</v>
      </c>
      <c r="F741">
        <v>2</v>
      </c>
      <c r="G741" s="2">
        <v>1.41</v>
      </c>
      <c r="H741">
        <v>8000</v>
      </c>
      <c r="I741">
        <v>2000</v>
      </c>
      <c r="J741" s="8">
        <f>IF(Tableau3[[#This Row],[prospet]]=0,0,Tableau3[[#This Row],[Ventes]]/Tableau3[[#This Row],[prospet]])</f>
        <v>0.2</v>
      </c>
      <c r="K741">
        <v>4636772</v>
      </c>
    </row>
    <row r="742" spans="1:11" hidden="1" x14ac:dyDescent="0.3">
      <c r="A742" s="1">
        <v>46198</v>
      </c>
      <c r="B742" t="s">
        <v>83</v>
      </c>
      <c r="C742" t="s">
        <v>95</v>
      </c>
      <c r="D742" t="s">
        <v>83</v>
      </c>
      <c r="J742" s="8">
        <f>IF(Tableau3[[#This Row],[prospet]]=0,0,Tableau3[[#This Row],[Ventes]]/Tableau3[[#This Row],[prospet]])</f>
        <v>0</v>
      </c>
      <c r="K742">
        <v>3947053</v>
      </c>
    </row>
    <row r="743" spans="1:11" hidden="1" x14ac:dyDescent="0.3">
      <c r="A743" s="1">
        <v>46198</v>
      </c>
      <c r="B743" t="s">
        <v>84</v>
      </c>
      <c r="C743" t="s">
        <v>96</v>
      </c>
      <c r="D743" t="s">
        <v>84</v>
      </c>
      <c r="E743">
        <v>20</v>
      </c>
      <c r="G743" s="2">
        <v>2.04</v>
      </c>
      <c r="J743" s="8">
        <f>IF(Tableau3[[#This Row],[prospet]]=0,0,Tableau3[[#This Row],[Ventes]]/Tableau3[[#This Row],[prospet]])</f>
        <v>0</v>
      </c>
      <c r="K743">
        <v>4587817</v>
      </c>
    </row>
    <row r="744" spans="1:11" hidden="1" x14ac:dyDescent="0.3">
      <c r="A744" s="1">
        <v>46198</v>
      </c>
      <c r="B744" t="s">
        <v>98</v>
      </c>
      <c r="C744" t="s">
        <v>99</v>
      </c>
      <c r="D744" t="s">
        <v>98</v>
      </c>
      <c r="F744">
        <v>1</v>
      </c>
      <c r="H744">
        <v>8500</v>
      </c>
      <c r="I744">
        <v>2500</v>
      </c>
      <c r="J744" s="8">
        <f>IF(Tableau3[[#This Row],[prospet]]=0,0,Tableau3[[#This Row],[Ventes]]/Tableau3[[#This Row],[prospet]])</f>
        <v>0</v>
      </c>
      <c r="K744">
        <v>3330821</v>
      </c>
    </row>
    <row r="745" spans="1:11" hidden="1" x14ac:dyDescent="0.3">
      <c r="A745" s="1">
        <v>46198</v>
      </c>
      <c r="B745" t="s">
        <v>111</v>
      </c>
      <c r="C745" t="s">
        <v>138</v>
      </c>
      <c r="D745" t="s">
        <v>115</v>
      </c>
      <c r="E745">
        <v>13</v>
      </c>
      <c r="G745" s="2">
        <v>2.27</v>
      </c>
      <c r="J745" s="8">
        <f>IF(Tableau3[[#This Row],[prospet]]=0,0,Tableau3[[#This Row],[Ventes]]/Tableau3[[#This Row],[prospet]])</f>
        <v>0</v>
      </c>
      <c r="K745">
        <v>4209873</v>
      </c>
    </row>
    <row r="746" spans="1:11" hidden="1" x14ac:dyDescent="0.3">
      <c r="A746" s="1">
        <v>46198</v>
      </c>
      <c r="B746" t="s">
        <v>112</v>
      </c>
      <c r="C746" t="s">
        <v>138</v>
      </c>
      <c r="D746" t="s">
        <v>113</v>
      </c>
      <c r="E746">
        <v>12</v>
      </c>
      <c r="G746" s="2">
        <v>2.17</v>
      </c>
      <c r="J746" s="8">
        <f>IF(Tableau3[[#This Row],[prospet]]=0,0,Tableau3[[#This Row],[Ventes]]/Tableau3[[#This Row],[prospet]])</f>
        <v>0</v>
      </c>
      <c r="K746">
        <v>4937885</v>
      </c>
    </row>
    <row r="747" spans="1:11" hidden="1" x14ac:dyDescent="0.3">
      <c r="A747" s="1">
        <v>46198</v>
      </c>
      <c r="B747" t="s">
        <v>152</v>
      </c>
      <c r="D747" t="s">
        <v>152</v>
      </c>
      <c r="J747" s="8">
        <f>IF(Tableau3[[#This Row],[prospet]]=0,0,Tableau3[[#This Row],[Ventes]]/Tableau3[[#This Row],[prospet]])</f>
        <v>0</v>
      </c>
      <c r="K747">
        <v>4476670</v>
      </c>
    </row>
    <row r="748" spans="1:11" hidden="1" x14ac:dyDescent="0.3">
      <c r="A748" s="1">
        <v>46199</v>
      </c>
      <c r="B748" t="s">
        <v>16</v>
      </c>
      <c r="C748" t="s">
        <v>85</v>
      </c>
      <c r="D748" t="s">
        <v>18</v>
      </c>
      <c r="E748">
        <v>5</v>
      </c>
      <c r="F748">
        <v>3</v>
      </c>
      <c r="G748" s="2">
        <v>2.13</v>
      </c>
      <c r="H748">
        <v>12000</v>
      </c>
      <c r="I748">
        <v>3000</v>
      </c>
      <c r="J748" s="8">
        <f>IF(Tableau3[[#This Row],[prospet]]=0,0,Tableau3[[#This Row],[Ventes]]/Tableau3[[#This Row],[prospet]])</f>
        <v>0.6</v>
      </c>
      <c r="K748">
        <v>4316190</v>
      </c>
    </row>
    <row r="749" spans="1:11" hidden="1" x14ac:dyDescent="0.3">
      <c r="A749" s="1">
        <v>46199</v>
      </c>
      <c r="B749" t="s">
        <v>9</v>
      </c>
      <c r="C749" t="s">
        <v>86</v>
      </c>
      <c r="D749" t="s">
        <v>13</v>
      </c>
      <c r="E749">
        <v>8</v>
      </c>
      <c r="G749" s="2">
        <v>1.94</v>
      </c>
      <c r="J749" s="8">
        <f>IF(Tableau3[[#This Row],[prospet]]=0,0,Tableau3[[#This Row],[Ventes]]/Tableau3[[#This Row],[prospet]])</f>
        <v>0</v>
      </c>
      <c r="K749">
        <v>4554529</v>
      </c>
    </row>
    <row r="750" spans="1:11" hidden="1" x14ac:dyDescent="0.3">
      <c r="A750" s="1">
        <v>46199</v>
      </c>
      <c r="B750" t="s">
        <v>43</v>
      </c>
      <c r="C750" t="s">
        <v>11</v>
      </c>
      <c r="D750" t="s">
        <v>43</v>
      </c>
      <c r="E750">
        <v>9</v>
      </c>
      <c r="F750">
        <v>1</v>
      </c>
      <c r="G750" s="2">
        <v>2.11</v>
      </c>
      <c r="H750">
        <v>4000</v>
      </c>
      <c r="I750">
        <v>1000</v>
      </c>
      <c r="J750" s="8">
        <f>IF(Tableau3[[#This Row],[prospet]]=0,0,Tableau3[[#This Row],[Ventes]]/Tableau3[[#This Row],[prospet]])</f>
        <v>0.1111111111111111</v>
      </c>
      <c r="K750">
        <v>4348553</v>
      </c>
    </row>
    <row r="751" spans="1:11" hidden="1" x14ac:dyDescent="0.3">
      <c r="A751" s="1">
        <v>46199</v>
      </c>
      <c r="B751" s="23" t="s">
        <v>30</v>
      </c>
      <c r="C751" t="s">
        <v>88</v>
      </c>
      <c r="D751" t="s">
        <v>30</v>
      </c>
      <c r="E751">
        <v>26</v>
      </c>
      <c r="G751" s="2">
        <v>1.78</v>
      </c>
      <c r="J751" s="8">
        <f>IF(Tableau3[[#This Row],[prospet]]=0,0,Tableau3[[#This Row],[Ventes]]/Tableau3[[#This Row],[prospet]])</f>
        <v>0</v>
      </c>
      <c r="K751">
        <v>4586158</v>
      </c>
    </row>
    <row r="752" spans="1:11" hidden="1" x14ac:dyDescent="0.3">
      <c r="A752" s="1">
        <v>46199</v>
      </c>
      <c r="B752" t="s">
        <v>3</v>
      </c>
      <c r="C752" t="s">
        <v>89</v>
      </c>
      <c r="D752" t="s">
        <v>3</v>
      </c>
      <c r="F752">
        <v>1</v>
      </c>
      <c r="H752">
        <v>8000</v>
      </c>
      <c r="I752">
        <v>2500</v>
      </c>
      <c r="J752" s="8">
        <f>IF(Tableau3[[#This Row],[prospet]]=0,0,Tableau3[[#This Row],[Ventes]]/Tableau3[[#This Row],[prospet]])</f>
        <v>0</v>
      </c>
      <c r="K752">
        <v>4561858</v>
      </c>
    </row>
    <row r="753" spans="1:11" hidden="1" x14ac:dyDescent="0.3">
      <c r="A753" s="1">
        <v>46199</v>
      </c>
      <c r="B753" t="s">
        <v>60</v>
      </c>
      <c r="C753" t="s">
        <v>85</v>
      </c>
      <c r="D753" t="s">
        <v>61</v>
      </c>
      <c r="J753" s="8">
        <f>IF(Tableau3[[#This Row],[prospet]]=0,0,Tableau3[[#This Row],[Ventes]]/Tableau3[[#This Row],[prospet]])</f>
        <v>0</v>
      </c>
      <c r="K753">
        <v>4587211</v>
      </c>
    </row>
    <row r="754" spans="1:11" hidden="1" x14ac:dyDescent="0.3">
      <c r="A754" s="1">
        <v>46199</v>
      </c>
      <c r="B754" t="s">
        <v>62</v>
      </c>
      <c r="C754" t="s">
        <v>90</v>
      </c>
      <c r="D754" t="s">
        <v>62</v>
      </c>
      <c r="E754">
        <v>14</v>
      </c>
      <c r="G754" s="2">
        <v>2.2200000000000002</v>
      </c>
      <c r="J754" s="8">
        <f>IF(Tableau3[[#This Row],[prospet]]=0,0,Tableau3[[#This Row],[Ventes]]/Tableau3[[#This Row],[prospet]])</f>
        <v>0</v>
      </c>
      <c r="K754">
        <v>4221767</v>
      </c>
    </row>
    <row r="755" spans="1:11" hidden="1" x14ac:dyDescent="0.3">
      <c r="A755" s="1">
        <v>46199</v>
      </c>
      <c r="B755" t="s">
        <v>63</v>
      </c>
      <c r="C755" t="s">
        <v>91</v>
      </c>
      <c r="D755" t="s">
        <v>154</v>
      </c>
      <c r="J755" s="8">
        <f>IF(Tableau3[[#This Row],[prospet]]=0,0,Tableau3[[#This Row],[Ventes]]/Tableau3[[#This Row],[prospet]])</f>
        <v>0</v>
      </c>
      <c r="K755">
        <v>4463888</v>
      </c>
    </row>
    <row r="756" spans="1:11" hidden="1" x14ac:dyDescent="0.3">
      <c r="A756" s="1">
        <v>46199</v>
      </c>
      <c r="B756" t="s">
        <v>64</v>
      </c>
      <c r="D756" t="s">
        <v>64</v>
      </c>
      <c r="J756" s="8">
        <f>IF(Tableau3[[#This Row],[prospet]]=0,0,Tableau3[[#This Row],[Ventes]]/Tableau3[[#This Row],[prospet]])</f>
        <v>0</v>
      </c>
      <c r="K756">
        <v>4080782</v>
      </c>
    </row>
    <row r="757" spans="1:11" hidden="1" x14ac:dyDescent="0.3">
      <c r="A757" s="1">
        <v>46199</v>
      </c>
      <c r="B757" t="s">
        <v>81</v>
      </c>
      <c r="C757" t="s">
        <v>92</v>
      </c>
      <c r="D757" t="s">
        <v>81</v>
      </c>
      <c r="E757">
        <v>15</v>
      </c>
      <c r="G757" s="2">
        <v>1.88</v>
      </c>
      <c r="J757" s="8">
        <f>IF(Tableau3[[#This Row],[prospet]]=0,0,Tableau3[[#This Row],[Ventes]]/Tableau3[[#This Row],[prospet]])</f>
        <v>0</v>
      </c>
      <c r="K757">
        <v>4559847</v>
      </c>
    </row>
    <row r="758" spans="1:11" hidden="1" x14ac:dyDescent="0.3">
      <c r="A758" s="1">
        <v>46199</v>
      </c>
      <c r="B758" t="s">
        <v>82</v>
      </c>
      <c r="C758" t="s">
        <v>11</v>
      </c>
      <c r="D758" t="s">
        <v>82</v>
      </c>
      <c r="J758" s="8">
        <f>IF(Tableau3[[#This Row],[prospet]]=0,0,Tableau3[[#This Row],[Ventes]]/Tableau3[[#This Row],[prospet]])</f>
        <v>0</v>
      </c>
      <c r="K758">
        <v>4541035</v>
      </c>
    </row>
    <row r="759" spans="1:11" hidden="1" x14ac:dyDescent="0.3">
      <c r="A759" s="1">
        <v>46199</v>
      </c>
      <c r="B759" t="s">
        <v>97</v>
      </c>
      <c r="C759" t="s">
        <v>93</v>
      </c>
      <c r="D759" t="s">
        <v>97</v>
      </c>
      <c r="E759">
        <v>16</v>
      </c>
      <c r="F759">
        <v>1</v>
      </c>
      <c r="G759" s="2">
        <v>1.88</v>
      </c>
      <c r="H759">
        <v>4000</v>
      </c>
      <c r="I759">
        <v>1000</v>
      </c>
      <c r="J759" s="8">
        <f>IF(Tableau3[[#This Row],[prospet]]=0,0,Tableau3[[#This Row],[Ventes]]/Tableau3[[#This Row],[prospet]])</f>
        <v>6.25E-2</v>
      </c>
      <c r="K759">
        <v>4636761</v>
      </c>
    </row>
    <row r="760" spans="1:11" hidden="1" x14ac:dyDescent="0.3">
      <c r="A760" s="1">
        <v>46199</v>
      </c>
      <c r="B760" t="s">
        <v>80</v>
      </c>
      <c r="C760" t="s">
        <v>94</v>
      </c>
      <c r="D760" t="s">
        <v>155</v>
      </c>
      <c r="E760">
        <v>11</v>
      </c>
      <c r="F760">
        <v>3</v>
      </c>
      <c r="G760" s="2">
        <v>1.77</v>
      </c>
      <c r="H760">
        <f>12500+8000</f>
        <v>20500</v>
      </c>
      <c r="I760">
        <v>4500</v>
      </c>
      <c r="J760" s="8">
        <f>IF(Tableau3[[#This Row],[prospet]]=0,0,Tableau3[[#This Row],[Ventes]]/Tableau3[[#This Row],[prospet]])</f>
        <v>0.27272727272727271</v>
      </c>
      <c r="K760">
        <v>4636772</v>
      </c>
    </row>
    <row r="761" spans="1:11" hidden="1" x14ac:dyDescent="0.3">
      <c r="A761" s="1">
        <v>46199</v>
      </c>
      <c r="B761" t="s">
        <v>83</v>
      </c>
      <c r="C761" t="s">
        <v>95</v>
      </c>
      <c r="D761" t="s">
        <v>83</v>
      </c>
      <c r="J761" s="8">
        <f>IF(Tableau3[[#This Row],[prospet]]=0,0,Tableau3[[#This Row],[Ventes]]/Tableau3[[#This Row],[prospet]])</f>
        <v>0</v>
      </c>
      <c r="K761">
        <v>3947053</v>
      </c>
    </row>
    <row r="762" spans="1:11" hidden="1" x14ac:dyDescent="0.3">
      <c r="A762" s="1">
        <v>46199</v>
      </c>
      <c r="B762" t="s">
        <v>84</v>
      </c>
      <c r="C762" t="s">
        <v>96</v>
      </c>
      <c r="D762" t="s">
        <v>84</v>
      </c>
      <c r="E762">
        <v>30</v>
      </c>
      <c r="F762">
        <v>2</v>
      </c>
      <c r="G762" s="2">
        <v>1.84</v>
      </c>
      <c r="H762">
        <f>4000+3500</f>
        <v>7500</v>
      </c>
      <c r="I762">
        <f>1000+500</f>
        <v>1500</v>
      </c>
      <c r="J762" s="8">
        <f>IF(Tableau3[[#This Row],[prospet]]=0,0,Tableau3[[#This Row],[Ventes]]/Tableau3[[#This Row],[prospet]])</f>
        <v>6.6666666666666666E-2</v>
      </c>
      <c r="K762">
        <v>4587817</v>
      </c>
    </row>
    <row r="763" spans="1:11" hidden="1" x14ac:dyDescent="0.3">
      <c r="A763" s="1">
        <v>46199</v>
      </c>
      <c r="B763" t="s">
        <v>98</v>
      </c>
      <c r="C763" t="s">
        <v>99</v>
      </c>
      <c r="D763" t="s">
        <v>98</v>
      </c>
      <c r="J763" s="8">
        <f>IF(Tableau3[[#This Row],[prospet]]=0,0,Tableau3[[#This Row],[Ventes]]/Tableau3[[#This Row],[prospet]])</f>
        <v>0</v>
      </c>
      <c r="K763">
        <v>3330821</v>
      </c>
    </row>
    <row r="764" spans="1:11" hidden="1" x14ac:dyDescent="0.3">
      <c r="A764" s="1">
        <v>46199</v>
      </c>
      <c r="B764" t="s">
        <v>109</v>
      </c>
      <c r="C764" t="s">
        <v>110</v>
      </c>
      <c r="D764" t="s">
        <v>109</v>
      </c>
      <c r="J764" s="8">
        <f>IF(Tableau3[[#This Row],[prospet]]=0,0,Tableau3[[#This Row],[Ventes]]/Tableau3[[#This Row],[prospet]])</f>
        <v>0</v>
      </c>
      <c r="K764">
        <v>4090831</v>
      </c>
    </row>
    <row r="765" spans="1:11" hidden="1" x14ac:dyDescent="0.3">
      <c r="A765" s="1">
        <v>46199</v>
      </c>
      <c r="B765" t="s">
        <v>111</v>
      </c>
      <c r="C765" t="s">
        <v>138</v>
      </c>
      <c r="D765" t="s">
        <v>115</v>
      </c>
      <c r="E765">
        <v>12</v>
      </c>
      <c r="F765">
        <v>1</v>
      </c>
      <c r="G765" s="2">
        <v>2.23</v>
      </c>
      <c r="H765">
        <v>12500</v>
      </c>
      <c r="I765">
        <v>2500</v>
      </c>
      <c r="J765" s="8">
        <f>IF(Tableau3[[#This Row],[prospet]]=0,0,Tableau3[[#This Row],[Ventes]]/Tableau3[[#This Row],[prospet]])</f>
        <v>8.3333333333333329E-2</v>
      </c>
      <c r="K765">
        <v>4209873</v>
      </c>
    </row>
    <row r="766" spans="1:11" hidden="1" x14ac:dyDescent="0.3">
      <c r="A766" s="1">
        <v>46199</v>
      </c>
      <c r="B766" t="s">
        <v>112</v>
      </c>
      <c r="C766" t="s">
        <v>138</v>
      </c>
      <c r="D766" t="s">
        <v>113</v>
      </c>
      <c r="E766">
        <v>8</v>
      </c>
      <c r="G766" s="2">
        <v>1.65</v>
      </c>
      <c r="J766" s="8">
        <f>IF(Tableau3[[#This Row],[prospet]]=0,0,Tableau3[[#This Row],[Ventes]]/Tableau3[[#This Row],[prospet]])</f>
        <v>0</v>
      </c>
      <c r="K766">
        <v>4937885</v>
      </c>
    </row>
    <row r="767" spans="1:11" hidden="1" x14ac:dyDescent="0.3">
      <c r="A767" s="1">
        <v>46199</v>
      </c>
      <c r="B767" t="s">
        <v>152</v>
      </c>
      <c r="D767" t="s">
        <v>152</v>
      </c>
      <c r="J767" s="8">
        <f>IF(Tableau3[[#This Row],[prospet]]=0,0,Tableau3[[#This Row],[Ventes]]/Tableau3[[#This Row],[prospet]])</f>
        <v>0</v>
      </c>
      <c r="K767">
        <v>4476670</v>
      </c>
    </row>
    <row r="768" spans="1:11" hidden="1" x14ac:dyDescent="0.3">
      <c r="A768" s="1">
        <v>46200</v>
      </c>
      <c r="B768" t="s">
        <v>16</v>
      </c>
      <c r="C768" t="s">
        <v>85</v>
      </c>
      <c r="D768" t="s">
        <v>18</v>
      </c>
      <c r="J768" s="8">
        <f>IF(Tableau3[[#This Row],[prospet]]=0,0,Tableau3[[#This Row],[Ventes]]/Tableau3[[#This Row],[prospet]])</f>
        <v>0</v>
      </c>
      <c r="K768">
        <v>4316190</v>
      </c>
    </row>
    <row r="769" spans="1:11" hidden="1" x14ac:dyDescent="0.3">
      <c r="A769" s="1">
        <v>46200</v>
      </c>
      <c r="B769" t="s">
        <v>9</v>
      </c>
      <c r="C769" t="s">
        <v>86</v>
      </c>
      <c r="D769" t="s">
        <v>13</v>
      </c>
      <c r="J769" s="8">
        <f>IF(Tableau3[[#This Row],[prospet]]=0,0,Tableau3[[#This Row],[Ventes]]/Tableau3[[#This Row],[prospet]])</f>
        <v>0</v>
      </c>
      <c r="K769">
        <v>4554529</v>
      </c>
    </row>
    <row r="770" spans="1:11" hidden="1" x14ac:dyDescent="0.3">
      <c r="A770" s="1">
        <v>46200</v>
      </c>
      <c r="B770" t="s">
        <v>43</v>
      </c>
      <c r="C770" t="s">
        <v>11</v>
      </c>
      <c r="D770" t="s">
        <v>43</v>
      </c>
      <c r="J770" s="8">
        <f>IF(Tableau3[[#This Row],[prospet]]=0,0,Tableau3[[#This Row],[Ventes]]/Tableau3[[#This Row],[prospet]])</f>
        <v>0</v>
      </c>
      <c r="K770">
        <v>4348553</v>
      </c>
    </row>
    <row r="771" spans="1:11" hidden="1" x14ac:dyDescent="0.3">
      <c r="A771" s="1">
        <v>46200</v>
      </c>
      <c r="B771" t="s">
        <v>30</v>
      </c>
      <c r="C771" t="s">
        <v>88</v>
      </c>
      <c r="D771" t="s">
        <v>30</v>
      </c>
      <c r="J771" s="8">
        <f>IF(Tableau3[[#This Row],[prospet]]=0,0,Tableau3[[#This Row],[Ventes]]/Tableau3[[#This Row],[prospet]])</f>
        <v>0</v>
      </c>
      <c r="K771">
        <v>4586158</v>
      </c>
    </row>
    <row r="772" spans="1:11" hidden="1" x14ac:dyDescent="0.3">
      <c r="A772" s="1">
        <v>46200</v>
      </c>
      <c r="B772" t="s">
        <v>3</v>
      </c>
      <c r="C772" t="s">
        <v>89</v>
      </c>
      <c r="D772" t="s">
        <v>3</v>
      </c>
      <c r="J772" s="8">
        <f>IF(Tableau3[[#This Row],[prospet]]=0,0,Tableau3[[#This Row],[Ventes]]/Tableau3[[#This Row],[prospet]])</f>
        <v>0</v>
      </c>
      <c r="K772">
        <v>4561858</v>
      </c>
    </row>
    <row r="773" spans="1:11" hidden="1" x14ac:dyDescent="0.3">
      <c r="A773" s="1">
        <v>46200</v>
      </c>
      <c r="B773" t="s">
        <v>60</v>
      </c>
      <c r="C773" t="s">
        <v>85</v>
      </c>
      <c r="D773" t="s">
        <v>61</v>
      </c>
      <c r="J773" s="8">
        <f>IF(Tableau3[[#This Row],[prospet]]=0,0,Tableau3[[#This Row],[Ventes]]/Tableau3[[#This Row],[prospet]])</f>
        <v>0</v>
      </c>
      <c r="K773">
        <v>4587211</v>
      </c>
    </row>
    <row r="774" spans="1:11" hidden="1" x14ac:dyDescent="0.3">
      <c r="A774" s="1">
        <v>46200</v>
      </c>
      <c r="B774" t="s">
        <v>62</v>
      </c>
      <c r="C774" t="s">
        <v>90</v>
      </c>
      <c r="D774" t="s">
        <v>62</v>
      </c>
      <c r="F774">
        <v>1</v>
      </c>
      <c r="H774">
        <v>4000</v>
      </c>
      <c r="I774">
        <v>1000</v>
      </c>
      <c r="J774" s="8">
        <f>IF(Tableau3[[#This Row],[prospet]]=0,0,Tableau3[[#This Row],[Ventes]]/Tableau3[[#This Row],[prospet]])</f>
        <v>0</v>
      </c>
      <c r="K774">
        <v>4221767</v>
      </c>
    </row>
    <row r="775" spans="1:11" hidden="1" x14ac:dyDescent="0.3">
      <c r="A775" s="1">
        <v>46200</v>
      </c>
      <c r="B775" t="s">
        <v>63</v>
      </c>
      <c r="C775" t="s">
        <v>91</v>
      </c>
      <c r="D775" t="s">
        <v>154</v>
      </c>
      <c r="J775" s="8">
        <f>IF(Tableau3[[#This Row],[prospet]]=0,0,Tableau3[[#This Row],[Ventes]]/Tableau3[[#This Row],[prospet]])</f>
        <v>0</v>
      </c>
      <c r="K775">
        <v>4463888</v>
      </c>
    </row>
    <row r="776" spans="1:11" hidden="1" x14ac:dyDescent="0.3">
      <c r="A776" s="1">
        <v>46200</v>
      </c>
      <c r="B776" t="s">
        <v>64</v>
      </c>
      <c r="D776" t="s">
        <v>64</v>
      </c>
      <c r="J776" s="8">
        <f>IF(Tableau3[[#This Row],[prospet]]=0,0,Tableau3[[#This Row],[Ventes]]/Tableau3[[#This Row],[prospet]])</f>
        <v>0</v>
      </c>
      <c r="K776">
        <v>4080782</v>
      </c>
    </row>
    <row r="777" spans="1:11" hidden="1" x14ac:dyDescent="0.3">
      <c r="A777" s="1">
        <v>46200</v>
      </c>
      <c r="B777" t="s">
        <v>81</v>
      </c>
      <c r="C777" t="s">
        <v>92</v>
      </c>
      <c r="D777" t="s">
        <v>81</v>
      </c>
      <c r="F777">
        <v>1</v>
      </c>
      <c r="H777">
        <v>8500</v>
      </c>
      <c r="I777">
        <v>2500</v>
      </c>
      <c r="J777" s="8">
        <f>IF(Tableau3[[#This Row],[prospet]]=0,0,Tableau3[[#This Row],[Ventes]]/Tableau3[[#This Row],[prospet]])</f>
        <v>0</v>
      </c>
      <c r="K777">
        <v>4559847</v>
      </c>
    </row>
    <row r="778" spans="1:11" hidden="1" x14ac:dyDescent="0.3">
      <c r="A778" s="1">
        <v>46200</v>
      </c>
      <c r="B778" t="s">
        <v>82</v>
      </c>
      <c r="C778" t="s">
        <v>11</v>
      </c>
      <c r="D778" t="s">
        <v>82</v>
      </c>
      <c r="J778" s="8">
        <f>IF(Tableau3[[#This Row],[prospet]]=0,0,Tableau3[[#This Row],[Ventes]]/Tableau3[[#This Row],[prospet]])</f>
        <v>0</v>
      </c>
      <c r="K778">
        <v>4541035</v>
      </c>
    </row>
    <row r="779" spans="1:11" hidden="1" x14ac:dyDescent="0.3">
      <c r="A779" s="1">
        <v>46200</v>
      </c>
      <c r="B779" t="s">
        <v>97</v>
      </c>
      <c r="C779" t="s">
        <v>93</v>
      </c>
      <c r="D779" t="s">
        <v>97</v>
      </c>
      <c r="J779" s="8">
        <f>IF(Tableau3[[#This Row],[prospet]]=0,0,Tableau3[[#This Row],[Ventes]]/Tableau3[[#This Row],[prospet]])</f>
        <v>0</v>
      </c>
      <c r="K779">
        <v>4636761</v>
      </c>
    </row>
    <row r="780" spans="1:11" hidden="1" x14ac:dyDescent="0.3">
      <c r="A780" s="1">
        <v>46200</v>
      </c>
      <c r="B780" t="s">
        <v>80</v>
      </c>
      <c r="C780" t="s">
        <v>94</v>
      </c>
      <c r="D780" t="s">
        <v>155</v>
      </c>
      <c r="F780">
        <v>1</v>
      </c>
      <c r="H780">
        <v>12500</v>
      </c>
      <c r="I780">
        <v>2000</v>
      </c>
      <c r="J780" s="8">
        <f>IF(Tableau3[[#This Row],[prospet]]=0,0,Tableau3[[#This Row],[Ventes]]/Tableau3[[#This Row],[prospet]])</f>
        <v>0</v>
      </c>
      <c r="K780">
        <v>4636772</v>
      </c>
    </row>
    <row r="781" spans="1:11" hidden="1" x14ac:dyDescent="0.3">
      <c r="A781" s="1">
        <v>46200</v>
      </c>
      <c r="B781" t="s">
        <v>83</v>
      </c>
      <c r="C781" t="s">
        <v>95</v>
      </c>
      <c r="D781" t="s">
        <v>83</v>
      </c>
      <c r="F781">
        <v>1</v>
      </c>
      <c r="H781">
        <v>4000</v>
      </c>
      <c r="I781">
        <v>1000</v>
      </c>
      <c r="J781" s="8">
        <f>IF(Tableau3[[#This Row],[prospet]]=0,0,Tableau3[[#This Row],[Ventes]]/Tableau3[[#This Row],[prospet]])</f>
        <v>0</v>
      </c>
      <c r="K781">
        <v>3947053</v>
      </c>
    </row>
    <row r="782" spans="1:11" hidden="1" x14ac:dyDescent="0.3">
      <c r="A782" s="1">
        <v>46200</v>
      </c>
      <c r="B782" t="s">
        <v>84</v>
      </c>
      <c r="C782" t="s">
        <v>96</v>
      </c>
      <c r="D782" t="s">
        <v>84</v>
      </c>
      <c r="J782" s="8">
        <f>IF(Tableau3[[#This Row],[prospet]]=0,0,Tableau3[[#This Row],[Ventes]]/Tableau3[[#This Row],[prospet]])</f>
        <v>0</v>
      </c>
      <c r="K782">
        <v>4587817</v>
      </c>
    </row>
    <row r="783" spans="1:11" hidden="1" x14ac:dyDescent="0.3">
      <c r="A783" s="1">
        <v>46200</v>
      </c>
      <c r="B783" t="s">
        <v>98</v>
      </c>
      <c r="C783" t="s">
        <v>99</v>
      </c>
      <c r="D783" t="s">
        <v>98</v>
      </c>
      <c r="F783">
        <v>1</v>
      </c>
      <c r="H783">
        <v>12500</v>
      </c>
      <c r="I783">
        <v>1500</v>
      </c>
      <c r="J783" s="8">
        <f>IF(Tableau3[[#This Row],[prospet]]=0,0,Tableau3[[#This Row],[Ventes]]/Tableau3[[#This Row],[prospet]])</f>
        <v>0</v>
      </c>
      <c r="K783">
        <v>3330821</v>
      </c>
    </row>
    <row r="784" spans="1:11" hidden="1" x14ac:dyDescent="0.3">
      <c r="A784" s="1">
        <v>46200</v>
      </c>
      <c r="B784" t="s">
        <v>109</v>
      </c>
      <c r="C784" t="s">
        <v>110</v>
      </c>
      <c r="D784" t="s">
        <v>109</v>
      </c>
      <c r="J784" s="8">
        <f>IF(Tableau3[[#This Row],[prospet]]=0,0,Tableau3[[#This Row],[Ventes]]/Tableau3[[#This Row],[prospet]])</f>
        <v>0</v>
      </c>
      <c r="K784">
        <v>4090831</v>
      </c>
    </row>
    <row r="785" spans="1:11" hidden="1" x14ac:dyDescent="0.3">
      <c r="A785" s="1">
        <v>46200</v>
      </c>
      <c r="B785" t="s">
        <v>111</v>
      </c>
      <c r="C785" t="s">
        <v>138</v>
      </c>
      <c r="D785" t="s">
        <v>115</v>
      </c>
      <c r="F785">
        <v>3</v>
      </c>
      <c r="H785">
        <f>6000+4000</f>
        <v>10000</v>
      </c>
      <c r="I785">
        <f>3000</f>
        <v>3000</v>
      </c>
      <c r="J785" s="8">
        <f>IF(Tableau3[[#This Row],[prospet]]=0,0,Tableau3[[#This Row],[Ventes]]/Tableau3[[#This Row],[prospet]])</f>
        <v>0</v>
      </c>
      <c r="K785">
        <v>4209873</v>
      </c>
    </row>
    <row r="786" spans="1:11" hidden="1" x14ac:dyDescent="0.3">
      <c r="A786" s="1">
        <v>46200</v>
      </c>
      <c r="B786" t="s">
        <v>112</v>
      </c>
      <c r="C786" t="s">
        <v>138</v>
      </c>
      <c r="D786" t="s">
        <v>113</v>
      </c>
      <c r="F786">
        <v>1</v>
      </c>
      <c r="H786">
        <v>10000</v>
      </c>
      <c r="I786">
        <v>2500</v>
      </c>
      <c r="J786" s="8">
        <f>IF(Tableau3[[#This Row],[prospet]]=0,0,Tableau3[[#This Row],[Ventes]]/Tableau3[[#This Row],[prospet]])</f>
        <v>0</v>
      </c>
      <c r="K786">
        <v>4937885</v>
      </c>
    </row>
    <row r="787" spans="1:11" hidden="1" x14ac:dyDescent="0.3">
      <c r="A787" s="1">
        <v>46200</v>
      </c>
      <c r="B787" t="s">
        <v>152</v>
      </c>
      <c r="D787" t="s">
        <v>152</v>
      </c>
      <c r="J787" s="8">
        <f>IF(Tableau3[[#This Row],[prospet]]=0,0,Tableau3[[#This Row],[Ventes]]/Tableau3[[#This Row],[prospet]])</f>
        <v>0</v>
      </c>
      <c r="K787">
        <v>4476670</v>
      </c>
    </row>
    <row r="788" spans="1:11" hidden="1" x14ac:dyDescent="0.3">
      <c r="A788" s="1">
        <v>46201</v>
      </c>
      <c r="B788" t="s">
        <v>16</v>
      </c>
      <c r="C788" t="s">
        <v>85</v>
      </c>
      <c r="D788" t="s">
        <v>18</v>
      </c>
      <c r="J788" s="8">
        <f>IF(Tableau3[[#This Row],[prospet]]=0,0,Tableau3[[#This Row],[Ventes]]/Tableau3[[#This Row],[prospet]])</f>
        <v>0</v>
      </c>
      <c r="K788">
        <v>4316190</v>
      </c>
    </row>
    <row r="789" spans="1:11" hidden="1" x14ac:dyDescent="0.3">
      <c r="A789" s="1">
        <v>46201</v>
      </c>
      <c r="B789" t="s">
        <v>9</v>
      </c>
      <c r="C789" t="s">
        <v>86</v>
      </c>
      <c r="D789" t="s">
        <v>13</v>
      </c>
      <c r="J789" s="8">
        <f>IF(Tableau3[[#This Row],[prospet]]=0,0,Tableau3[[#This Row],[Ventes]]/Tableau3[[#This Row],[prospet]])</f>
        <v>0</v>
      </c>
      <c r="K789">
        <v>4554529</v>
      </c>
    </row>
    <row r="790" spans="1:11" hidden="1" x14ac:dyDescent="0.3">
      <c r="A790" s="1">
        <v>46201</v>
      </c>
      <c r="B790" t="s">
        <v>43</v>
      </c>
      <c r="C790" t="s">
        <v>11</v>
      </c>
      <c r="D790" t="s">
        <v>43</v>
      </c>
      <c r="J790" s="8">
        <f>IF(Tableau3[[#This Row],[prospet]]=0,0,Tableau3[[#This Row],[Ventes]]/Tableau3[[#This Row],[prospet]])</f>
        <v>0</v>
      </c>
      <c r="K790">
        <v>4348553</v>
      </c>
    </row>
    <row r="791" spans="1:11" hidden="1" x14ac:dyDescent="0.3">
      <c r="A791" s="1">
        <v>46201</v>
      </c>
      <c r="B791" t="s">
        <v>30</v>
      </c>
      <c r="C791" t="s">
        <v>88</v>
      </c>
      <c r="D791" t="s">
        <v>30</v>
      </c>
      <c r="J791" s="8">
        <f>IF(Tableau3[[#This Row],[prospet]]=0,0,Tableau3[[#This Row],[Ventes]]/Tableau3[[#This Row],[prospet]])</f>
        <v>0</v>
      </c>
      <c r="K791">
        <v>4586158</v>
      </c>
    </row>
    <row r="792" spans="1:11" hidden="1" x14ac:dyDescent="0.3">
      <c r="A792" s="1">
        <v>46201</v>
      </c>
      <c r="B792" t="s">
        <v>3</v>
      </c>
      <c r="C792" t="s">
        <v>89</v>
      </c>
      <c r="D792" t="s">
        <v>3</v>
      </c>
      <c r="J792" s="8">
        <f>IF(Tableau3[[#This Row],[prospet]]=0,0,Tableau3[[#This Row],[Ventes]]/Tableau3[[#This Row],[prospet]])</f>
        <v>0</v>
      </c>
      <c r="K792">
        <v>4561858</v>
      </c>
    </row>
    <row r="793" spans="1:11" hidden="1" x14ac:dyDescent="0.3">
      <c r="A793" s="1">
        <v>46201</v>
      </c>
      <c r="B793" t="s">
        <v>60</v>
      </c>
      <c r="C793" t="s">
        <v>85</v>
      </c>
      <c r="D793" t="s">
        <v>61</v>
      </c>
      <c r="J793" s="8">
        <f>IF(Tableau3[[#This Row],[prospet]]=0,0,Tableau3[[#This Row],[Ventes]]/Tableau3[[#This Row],[prospet]])</f>
        <v>0</v>
      </c>
      <c r="K793">
        <v>4587211</v>
      </c>
    </row>
    <row r="794" spans="1:11" hidden="1" x14ac:dyDescent="0.3">
      <c r="A794" s="1">
        <v>46201</v>
      </c>
      <c r="B794" t="s">
        <v>62</v>
      </c>
      <c r="C794" t="s">
        <v>90</v>
      </c>
      <c r="D794" t="s">
        <v>62</v>
      </c>
      <c r="J794" s="8">
        <f>IF(Tableau3[[#This Row],[prospet]]=0,0,Tableau3[[#This Row],[Ventes]]/Tableau3[[#This Row],[prospet]])</f>
        <v>0</v>
      </c>
      <c r="K794">
        <v>4221767</v>
      </c>
    </row>
    <row r="795" spans="1:11" hidden="1" x14ac:dyDescent="0.3">
      <c r="A795" s="1">
        <v>46201</v>
      </c>
      <c r="B795" t="s">
        <v>63</v>
      </c>
      <c r="C795" t="s">
        <v>91</v>
      </c>
      <c r="D795" t="s">
        <v>154</v>
      </c>
      <c r="J795" s="8">
        <f>IF(Tableau3[[#This Row],[prospet]]=0,0,Tableau3[[#This Row],[Ventes]]/Tableau3[[#This Row],[prospet]])</f>
        <v>0</v>
      </c>
      <c r="K795">
        <v>4463888</v>
      </c>
    </row>
    <row r="796" spans="1:11" hidden="1" x14ac:dyDescent="0.3">
      <c r="A796" s="1">
        <v>46201</v>
      </c>
      <c r="B796" t="s">
        <v>64</v>
      </c>
      <c r="D796" t="s">
        <v>64</v>
      </c>
      <c r="J796" s="8">
        <f>IF(Tableau3[[#This Row],[prospet]]=0,0,Tableau3[[#This Row],[Ventes]]/Tableau3[[#This Row],[prospet]])</f>
        <v>0</v>
      </c>
      <c r="K796">
        <v>4080782</v>
      </c>
    </row>
    <row r="797" spans="1:11" hidden="1" x14ac:dyDescent="0.3">
      <c r="A797" s="1">
        <v>46201</v>
      </c>
      <c r="B797" t="s">
        <v>81</v>
      </c>
      <c r="C797" t="s">
        <v>92</v>
      </c>
      <c r="D797" t="s">
        <v>81</v>
      </c>
      <c r="J797" s="8">
        <f>IF(Tableau3[[#This Row],[prospet]]=0,0,Tableau3[[#This Row],[Ventes]]/Tableau3[[#This Row],[prospet]])</f>
        <v>0</v>
      </c>
      <c r="K797">
        <v>4559847</v>
      </c>
    </row>
    <row r="798" spans="1:11" hidden="1" x14ac:dyDescent="0.3">
      <c r="A798" s="1">
        <v>46201</v>
      </c>
      <c r="B798" t="s">
        <v>82</v>
      </c>
      <c r="C798" t="s">
        <v>11</v>
      </c>
      <c r="D798" t="s">
        <v>82</v>
      </c>
      <c r="J798" s="8">
        <f>IF(Tableau3[[#This Row],[prospet]]=0,0,Tableau3[[#This Row],[Ventes]]/Tableau3[[#This Row],[prospet]])</f>
        <v>0</v>
      </c>
      <c r="K798">
        <v>4541035</v>
      </c>
    </row>
    <row r="799" spans="1:11" hidden="1" x14ac:dyDescent="0.3">
      <c r="A799" s="1">
        <v>46201</v>
      </c>
      <c r="B799" t="s">
        <v>97</v>
      </c>
      <c r="C799" t="s">
        <v>93</v>
      </c>
      <c r="D799" t="s">
        <v>97</v>
      </c>
      <c r="J799" s="8">
        <f>IF(Tableau3[[#This Row],[prospet]]=0,0,Tableau3[[#This Row],[Ventes]]/Tableau3[[#This Row],[prospet]])</f>
        <v>0</v>
      </c>
      <c r="K799">
        <v>4636761</v>
      </c>
    </row>
    <row r="800" spans="1:11" hidden="1" x14ac:dyDescent="0.3">
      <c r="A800" s="1">
        <v>46201</v>
      </c>
      <c r="B800" t="s">
        <v>80</v>
      </c>
      <c r="C800" t="s">
        <v>94</v>
      </c>
      <c r="D800" t="s">
        <v>155</v>
      </c>
      <c r="J800" s="8">
        <f>IF(Tableau3[[#This Row],[prospet]]=0,0,Tableau3[[#This Row],[Ventes]]/Tableau3[[#This Row],[prospet]])</f>
        <v>0</v>
      </c>
      <c r="K800">
        <v>4636772</v>
      </c>
    </row>
    <row r="801" spans="1:11" hidden="1" x14ac:dyDescent="0.3">
      <c r="A801" s="1">
        <v>46201</v>
      </c>
      <c r="B801" t="s">
        <v>83</v>
      </c>
      <c r="C801" t="s">
        <v>95</v>
      </c>
      <c r="D801" t="s">
        <v>83</v>
      </c>
      <c r="J801" s="8">
        <f>IF(Tableau3[[#This Row],[prospet]]=0,0,Tableau3[[#This Row],[Ventes]]/Tableau3[[#This Row],[prospet]])</f>
        <v>0</v>
      </c>
      <c r="K801">
        <v>3947053</v>
      </c>
    </row>
    <row r="802" spans="1:11" hidden="1" x14ac:dyDescent="0.3">
      <c r="A802" s="1">
        <v>46201</v>
      </c>
      <c r="B802" t="s">
        <v>84</v>
      </c>
      <c r="C802" t="s">
        <v>96</v>
      </c>
      <c r="D802" t="s">
        <v>84</v>
      </c>
      <c r="J802" s="8">
        <f>IF(Tableau3[[#This Row],[prospet]]=0,0,Tableau3[[#This Row],[Ventes]]/Tableau3[[#This Row],[prospet]])</f>
        <v>0</v>
      </c>
      <c r="K802">
        <v>4587817</v>
      </c>
    </row>
    <row r="803" spans="1:11" hidden="1" x14ac:dyDescent="0.3">
      <c r="A803" s="1">
        <v>46201</v>
      </c>
      <c r="B803" t="s">
        <v>98</v>
      </c>
      <c r="C803" t="s">
        <v>99</v>
      </c>
      <c r="D803" t="s">
        <v>98</v>
      </c>
      <c r="J803" s="8">
        <f>IF(Tableau3[[#This Row],[prospet]]=0,0,Tableau3[[#This Row],[Ventes]]/Tableau3[[#This Row],[prospet]])</f>
        <v>0</v>
      </c>
      <c r="K803">
        <v>3330821</v>
      </c>
    </row>
    <row r="804" spans="1:11" hidden="1" x14ac:dyDescent="0.3">
      <c r="A804" s="1">
        <v>46201</v>
      </c>
      <c r="B804" t="s">
        <v>109</v>
      </c>
      <c r="C804" t="s">
        <v>110</v>
      </c>
      <c r="D804" t="s">
        <v>109</v>
      </c>
      <c r="J804" s="8">
        <f>IF(Tableau3[[#This Row],[prospet]]=0,0,Tableau3[[#This Row],[Ventes]]/Tableau3[[#This Row],[prospet]])</f>
        <v>0</v>
      </c>
      <c r="K804">
        <v>4090831</v>
      </c>
    </row>
    <row r="805" spans="1:11" hidden="1" x14ac:dyDescent="0.3">
      <c r="A805" s="1">
        <v>46201</v>
      </c>
      <c r="B805" t="s">
        <v>111</v>
      </c>
      <c r="C805" t="s">
        <v>138</v>
      </c>
      <c r="D805" t="s">
        <v>115</v>
      </c>
      <c r="J805" s="8">
        <f>IF(Tableau3[[#This Row],[prospet]]=0,0,Tableau3[[#This Row],[Ventes]]/Tableau3[[#This Row],[prospet]])</f>
        <v>0</v>
      </c>
      <c r="K805">
        <v>4209873</v>
      </c>
    </row>
    <row r="806" spans="1:11" hidden="1" x14ac:dyDescent="0.3">
      <c r="A806" s="1">
        <v>46201</v>
      </c>
      <c r="B806" t="s">
        <v>112</v>
      </c>
      <c r="C806" t="s">
        <v>138</v>
      </c>
      <c r="D806" t="s">
        <v>113</v>
      </c>
      <c r="J806" s="8">
        <f>IF(Tableau3[[#This Row],[prospet]]=0,0,Tableau3[[#This Row],[Ventes]]/Tableau3[[#This Row],[prospet]])</f>
        <v>0</v>
      </c>
      <c r="K806">
        <v>4937885</v>
      </c>
    </row>
    <row r="807" spans="1:11" hidden="1" x14ac:dyDescent="0.3">
      <c r="A807" s="1">
        <v>46201</v>
      </c>
      <c r="B807" t="s">
        <v>152</v>
      </c>
      <c r="D807" t="s">
        <v>152</v>
      </c>
      <c r="J807" s="8">
        <f>IF(Tableau3[[#This Row],[prospet]]=0,0,Tableau3[[#This Row],[Ventes]]/Tableau3[[#This Row],[prospet]])</f>
        <v>0</v>
      </c>
      <c r="K807">
        <v>4476670</v>
      </c>
    </row>
    <row r="808" spans="1:11" hidden="1" x14ac:dyDescent="0.3">
      <c r="A808" s="1">
        <v>46202</v>
      </c>
      <c r="B808" t="s">
        <v>16</v>
      </c>
      <c r="C808" t="s">
        <v>85</v>
      </c>
      <c r="D808" t="s">
        <v>18</v>
      </c>
      <c r="F808">
        <v>1</v>
      </c>
      <c r="H808">
        <v>12500</v>
      </c>
      <c r="I808">
        <v>1500</v>
      </c>
      <c r="J808" s="8">
        <f>IF(Tableau3[[#This Row],[prospet]]=0,0,Tableau3[[#This Row],[Ventes]]/Tableau3[[#This Row],[prospet]])</f>
        <v>0</v>
      </c>
      <c r="K808">
        <v>4316190</v>
      </c>
    </row>
    <row r="809" spans="1:11" hidden="1" x14ac:dyDescent="0.3">
      <c r="A809" s="1">
        <v>46202</v>
      </c>
      <c r="B809" t="s">
        <v>9</v>
      </c>
      <c r="C809" t="s">
        <v>86</v>
      </c>
      <c r="D809" t="s">
        <v>13</v>
      </c>
      <c r="J809" s="8">
        <f>IF(Tableau3[[#This Row],[prospet]]=0,0,Tableau3[[#This Row],[Ventes]]/Tableau3[[#This Row],[prospet]])</f>
        <v>0</v>
      </c>
      <c r="K809">
        <v>4554529</v>
      </c>
    </row>
    <row r="810" spans="1:11" hidden="1" x14ac:dyDescent="0.3">
      <c r="A810" s="1">
        <v>46202</v>
      </c>
      <c r="B810" t="s">
        <v>43</v>
      </c>
      <c r="C810" t="s">
        <v>11</v>
      </c>
      <c r="D810" t="s">
        <v>43</v>
      </c>
      <c r="J810" s="8">
        <f>IF(Tableau3[[#This Row],[prospet]]=0,0,Tableau3[[#This Row],[Ventes]]/Tableau3[[#This Row],[prospet]])</f>
        <v>0</v>
      </c>
      <c r="K810">
        <v>4348553</v>
      </c>
    </row>
    <row r="811" spans="1:11" hidden="1" x14ac:dyDescent="0.3">
      <c r="A811" s="1">
        <v>46202</v>
      </c>
      <c r="B811" t="s">
        <v>30</v>
      </c>
      <c r="C811" t="s">
        <v>88</v>
      </c>
      <c r="D811" t="s">
        <v>30</v>
      </c>
      <c r="J811" s="8">
        <f>IF(Tableau3[[#This Row],[prospet]]=0,0,Tableau3[[#This Row],[Ventes]]/Tableau3[[#This Row],[prospet]])</f>
        <v>0</v>
      </c>
      <c r="K811">
        <v>4586158</v>
      </c>
    </row>
    <row r="812" spans="1:11" hidden="1" x14ac:dyDescent="0.3">
      <c r="A812" s="1">
        <v>46202</v>
      </c>
      <c r="B812" t="s">
        <v>3</v>
      </c>
      <c r="C812" t="s">
        <v>89</v>
      </c>
      <c r="D812" t="s">
        <v>3</v>
      </c>
      <c r="F812">
        <v>2</v>
      </c>
      <c r="H812">
        <f>3000+4000</f>
        <v>7000</v>
      </c>
      <c r="I812">
        <v>2000</v>
      </c>
      <c r="J812" s="8">
        <f>IF(Tableau3[[#This Row],[prospet]]=0,0,Tableau3[[#This Row],[Ventes]]/Tableau3[[#This Row],[prospet]])</f>
        <v>0</v>
      </c>
      <c r="K812">
        <v>4561858</v>
      </c>
    </row>
    <row r="813" spans="1:11" hidden="1" x14ac:dyDescent="0.3">
      <c r="A813" s="1">
        <v>46202</v>
      </c>
      <c r="B813" t="s">
        <v>60</v>
      </c>
      <c r="C813" t="s">
        <v>85</v>
      </c>
      <c r="D813" t="s">
        <v>61</v>
      </c>
      <c r="J813" s="8">
        <f>IF(Tableau3[[#This Row],[prospet]]=0,0,Tableau3[[#This Row],[Ventes]]/Tableau3[[#This Row],[prospet]])</f>
        <v>0</v>
      </c>
      <c r="K813">
        <v>4587211</v>
      </c>
    </row>
    <row r="814" spans="1:11" hidden="1" x14ac:dyDescent="0.3">
      <c r="A814" s="1">
        <v>46202</v>
      </c>
      <c r="B814" t="s">
        <v>62</v>
      </c>
      <c r="C814" t="s">
        <v>90</v>
      </c>
      <c r="D814" t="s">
        <v>62</v>
      </c>
      <c r="J814" s="8">
        <f>IF(Tableau3[[#This Row],[prospet]]=0,0,Tableau3[[#This Row],[Ventes]]/Tableau3[[#This Row],[prospet]])</f>
        <v>0</v>
      </c>
      <c r="K814">
        <v>4221767</v>
      </c>
    </row>
    <row r="815" spans="1:11" hidden="1" x14ac:dyDescent="0.3">
      <c r="A815" s="1">
        <v>46202</v>
      </c>
      <c r="B815" t="s">
        <v>63</v>
      </c>
      <c r="C815" t="s">
        <v>91</v>
      </c>
      <c r="D815" t="s">
        <v>154</v>
      </c>
      <c r="J815" s="8">
        <f>IF(Tableau3[[#This Row],[prospet]]=0,0,Tableau3[[#This Row],[Ventes]]/Tableau3[[#This Row],[prospet]])</f>
        <v>0</v>
      </c>
      <c r="K815">
        <v>4463888</v>
      </c>
    </row>
    <row r="816" spans="1:11" hidden="1" x14ac:dyDescent="0.3">
      <c r="A816" s="1">
        <v>46202</v>
      </c>
      <c r="B816" t="s">
        <v>64</v>
      </c>
      <c r="D816" t="s">
        <v>64</v>
      </c>
      <c r="J816" s="8">
        <f>IF(Tableau3[[#This Row],[prospet]]=0,0,Tableau3[[#This Row],[Ventes]]/Tableau3[[#This Row],[prospet]])</f>
        <v>0</v>
      </c>
      <c r="K816">
        <v>4080782</v>
      </c>
    </row>
    <row r="817" spans="1:11" hidden="1" x14ac:dyDescent="0.3">
      <c r="A817" s="1">
        <v>46202</v>
      </c>
      <c r="B817" t="s">
        <v>81</v>
      </c>
      <c r="C817" t="s">
        <v>92</v>
      </c>
      <c r="D817" t="s">
        <v>81</v>
      </c>
      <c r="J817" s="8">
        <f>IF(Tableau3[[#This Row],[prospet]]=0,0,Tableau3[[#This Row],[Ventes]]/Tableau3[[#This Row],[prospet]])</f>
        <v>0</v>
      </c>
      <c r="K817">
        <v>4559847</v>
      </c>
    </row>
    <row r="818" spans="1:11" hidden="1" x14ac:dyDescent="0.3">
      <c r="A818" s="1">
        <v>46202</v>
      </c>
      <c r="B818" t="s">
        <v>82</v>
      </c>
      <c r="C818" t="s">
        <v>11</v>
      </c>
      <c r="D818" t="s">
        <v>82</v>
      </c>
      <c r="J818" s="8">
        <f>IF(Tableau3[[#This Row],[prospet]]=0,0,Tableau3[[#This Row],[Ventes]]/Tableau3[[#This Row],[prospet]])</f>
        <v>0</v>
      </c>
      <c r="K818">
        <v>4541035</v>
      </c>
    </row>
    <row r="819" spans="1:11" hidden="1" x14ac:dyDescent="0.3">
      <c r="A819" s="1">
        <v>46202</v>
      </c>
      <c r="B819" t="s">
        <v>97</v>
      </c>
      <c r="C819" t="s">
        <v>93</v>
      </c>
      <c r="D819" t="s">
        <v>97</v>
      </c>
      <c r="J819" s="8">
        <f>IF(Tableau3[[#This Row],[prospet]]=0,0,Tableau3[[#This Row],[Ventes]]/Tableau3[[#This Row],[prospet]])</f>
        <v>0</v>
      </c>
      <c r="K819">
        <v>4636761</v>
      </c>
    </row>
    <row r="820" spans="1:11" hidden="1" x14ac:dyDescent="0.3">
      <c r="A820" s="1">
        <v>46202</v>
      </c>
      <c r="B820" t="s">
        <v>80</v>
      </c>
      <c r="C820" t="s">
        <v>94</v>
      </c>
      <c r="D820" t="s">
        <v>155</v>
      </c>
      <c r="J820" s="8">
        <f>IF(Tableau3[[#This Row],[prospet]]=0,0,Tableau3[[#This Row],[Ventes]]/Tableau3[[#This Row],[prospet]])</f>
        <v>0</v>
      </c>
      <c r="K820">
        <v>4636772</v>
      </c>
    </row>
    <row r="821" spans="1:11" hidden="1" x14ac:dyDescent="0.3">
      <c r="A821" s="1">
        <v>46202</v>
      </c>
      <c r="B821" t="s">
        <v>83</v>
      </c>
      <c r="C821" t="s">
        <v>95</v>
      </c>
      <c r="D821" t="s">
        <v>83</v>
      </c>
      <c r="J821" s="8">
        <f>IF(Tableau3[[#This Row],[prospet]]=0,0,Tableau3[[#This Row],[Ventes]]/Tableau3[[#This Row],[prospet]])</f>
        <v>0</v>
      </c>
      <c r="K821">
        <v>3947053</v>
      </c>
    </row>
    <row r="822" spans="1:11" hidden="1" x14ac:dyDescent="0.3">
      <c r="A822" s="1">
        <v>46202</v>
      </c>
      <c r="B822" t="s">
        <v>84</v>
      </c>
      <c r="C822" t="s">
        <v>96</v>
      </c>
      <c r="D822" t="s">
        <v>84</v>
      </c>
      <c r="F822">
        <v>1</v>
      </c>
      <c r="H822">
        <v>12500</v>
      </c>
      <c r="I822">
        <v>1500</v>
      </c>
      <c r="J822" s="8">
        <f>IF(Tableau3[[#This Row],[prospet]]=0,0,Tableau3[[#This Row],[Ventes]]/Tableau3[[#This Row],[prospet]])</f>
        <v>0</v>
      </c>
      <c r="K822">
        <v>4587817</v>
      </c>
    </row>
    <row r="823" spans="1:11" hidden="1" x14ac:dyDescent="0.3">
      <c r="A823" s="1">
        <v>46202</v>
      </c>
      <c r="B823" t="s">
        <v>98</v>
      </c>
      <c r="C823" t="s">
        <v>99</v>
      </c>
      <c r="D823" t="s">
        <v>98</v>
      </c>
      <c r="F823">
        <v>1</v>
      </c>
      <c r="H823">
        <v>12500</v>
      </c>
      <c r="I823">
        <v>2500</v>
      </c>
      <c r="J823" s="8">
        <f>IF(Tableau3[[#This Row],[prospet]]=0,0,Tableau3[[#This Row],[Ventes]]/Tableau3[[#This Row],[prospet]])</f>
        <v>0</v>
      </c>
      <c r="K823">
        <v>3330821</v>
      </c>
    </row>
    <row r="824" spans="1:11" hidden="1" x14ac:dyDescent="0.3">
      <c r="A824" s="1">
        <v>46202</v>
      </c>
      <c r="B824" t="s">
        <v>109</v>
      </c>
      <c r="C824" t="s">
        <v>110</v>
      </c>
      <c r="D824" t="s">
        <v>109</v>
      </c>
      <c r="J824" s="8">
        <f>IF(Tableau3[[#This Row],[prospet]]=0,0,Tableau3[[#This Row],[Ventes]]/Tableau3[[#This Row],[prospet]])</f>
        <v>0</v>
      </c>
      <c r="K824">
        <v>4090831</v>
      </c>
    </row>
    <row r="825" spans="1:11" hidden="1" x14ac:dyDescent="0.3">
      <c r="A825" s="1">
        <v>46202</v>
      </c>
      <c r="B825" t="s">
        <v>111</v>
      </c>
      <c r="C825" t="s">
        <v>138</v>
      </c>
      <c r="D825" t="s">
        <v>115</v>
      </c>
      <c r="F825">
        <v>1</v>
      </c>
      <c r="H825">
        <v>17500</v>
      </c>
      <c r="I825">
        <v>3500</v>
      </c>
      <c r="J825" s="8">
        <f>IF(Tableau3[[#This Row],[prospet]]=0,0,Tableau3[[#This Row],[Ventes]]/Tableau3[[#This Row],[prospet]])</f>
        <v>0</v>
      </c>
      <c r="K825">
        <v>4209873</v>
      </c>
    </row>
    <row r="826" spans="1:11" hidden="1" x14ac:dyDescent="0.3">
      <c r="A826" s="1">
        <v>46202</v>
      </c>
      <c r="B826" t="s">
        <v>112</v>
      </c>
      <c r="C826" t="s">
        <v>138</v>
      </c>
      <c r="D826" t="s">
        <v>113</v>
      </c>
      <c r="J826" s="8">
        <f>IF(Tableau3[[#This Row],[prospet]]=0,0,Tableau3[[#This Row],[Ventes]]/Tableau3[[#This Row],[prospet]])</f>
        <v>0</v>
      </c>
      <c r="K826">
        <v>4937885</v>
      </c>
    </row>
    <row r="827" spans="1:11" hidden="1" x14ac:dyDescent="0.3">
      <c r="A827" s="1">
        <v>46202</v>
      </c>
      <c r="B827" t="s">
        <v>152</v>
      </c>
      <c r="D827" t="s">
        <v>152</v>
      </c>
      <c r="J827" s="8">
        <f>IF(Tableau3[[#This Row],[prospet]]=0,0,Tableau3[[#This Row],[Ventes]]/Tableau3[[#This Row],[prospet]])</f>
        <v>0</v>
      </c>
      <c r="K827">
        <v>4476670</v>
      </c>
    </row>
    <row r="828" spans="1:11" hidden="1" x14ac:dyDescent="0.3">
      <c r="A828" s="1">
        <v>46203</v>
      </c>
      <c r="B828" t="s">
        <v>16</v>
      </c>
      <c r="C828" t="s">
        <v>85</v>
      </c>
      <c r="D828" t="s">
        <v>18</v>
      </c>
      <c r="J828" s="8">
        <f>IF(Tableau3[[#This Row],[prospet]]=0,0,Tableau3[[#This Row],[Ventes]]/Tableau3[[#This Row],[prospet]])</f>
        <v>0</v>
      </c>
      <c r="K828">
        <v>4316190</v>
      </c>
    </row>
    <row r="829" spans="1:11" hidden="1" x14ac:dyDescent="0.3">
      <c r="A829" s="1">
        <v>46203</v>
      </c>
      <c r="B829" t="s">
        <v>9</v>
      </c>
      <c r="C829" t="s">
        <v>86</v>
      </c>
      <c r="D829" t="s">
        <v>13</v>
      </c>
      <c r="J829" s="8">
        <f>IF(Tableau3[[#This Row],[prospet]]=0,0,Tableau3[[#This Row],[Ventes]]/Tableau3[[#This Row],[prospet]])</f>
        <v>0</v>
      </c>
      <c r="K829">
        <v>4554529</v>
      </c>
    </row>
    <row r="830" spans="1:11" hidden="1" x14ac:dyDescent="0.3">
      <c r="A830" s="1">
        <v>46203</v>
      </c>
      <c r="B830" t="s">
        <v>43</v>
      </c>
      <c r="C830" t="s">
        <v>11</v>
      </c>
      <c r="D830" t="s">
        <v>43</v>
      </c>
      <c r="F830">
        <v>4</v>
      </c>
      <c r="H830">
        <f>8000+12500+12500</f>
        <v>33000</v>
      </c>
      <c r="I830">
        <f>2000+1500+2500</f>
        <v>6000</v>
      </c>
      <c r="J830" s="8">
        <f>IF(Tableau3[[#This Row],[prospet]]=0,0,Tableau3[[#This Row],[Ventes]]/Tableau3[[#This Row],[prospet]])</f>
        <v>0</v>
      </c>
      <c r="K830">
        <v>4348553</v>
      </c>
    </row>
    <row r="831" spans="1:11" hidden="1" x14ac:dyDescent="0.3">
      <c r="A831" s="1">
        <v>46203</v>
      </c>
      <c r="B831" t="s">
        <v>30</v>
      </c>
      <c r="C831" t="s">
        <v>88</v>
      </c>
      <c r="D831" t="s">
        <v>30</v>
      </c>
      <c r="J831" s="8">
        <f>IF(Tableau3[[#This Row],[prospet]]=0,0,Tableau3[[#This Row],[Ventes]]/Tableau3[[#This Row],[prospet]])</f>
        <v>0</v>
      </c>
      <c r="K831">
        <v>4586158</v>
      </c>
    </row>
    <row r="832" spans="1:11" hidden="1" x14ac:dyDescent="0.3">
      <c r="A832" s="1">
        <v>46203</v>
      </c>
      <c r="B832" t="s">
        <v>3</v>
      </c>
      <c r="C832" t="s">
        <v>89</v>
      </c>
      <c r="D832" t="s">
        <v>3</v>
      </c>
      <c r="F832">
        <v>1</v>
      </c>
      <c r="H832">
        <v>4000</v>
      </c>
      <c r="I832">
        <v>1000</v>
      </c>
      <c r="J832" s="8">
        <f>IF(Tableau3[[#This Row],[prospet]]=0,0,Tableau3[[#This Row],[Ventes]]/Tableau3[[#This Row],[prospet]])</f>
        <v>0</v>
      </c>
      <c r="K832">
        <v>4561858</v>
      </c>
    </row>
    <row r="833" spans="1:11" hidden="1" x14ac:dyDescent="0.3">
      <c r="A833" s="1">
        <v>46203</v>
      </c>
      <c r="B833" t="s">
        <v>60</v>
      </c>
      <c r="C833" t="s">
        <v>85</v>
      </c>
      <c r="D833" t="s">
        <v>61</v>
      </c>
      <c r="J833" s="8">
        <f>IF(Tableau3[[#This Row],[prospet]]=0,0,Tableau3[[#This Row],[Ventes]]/Tableau3[[#This Row],[prospet]])</f>
        <v>0</v>
      </c>
      <c r="K833">
        <v>4587211</v>
      </c>
    </row>
    <row r="834" spans="1:11" hidden="1" x14ac:dyDescent="0.3">
      <c r="A834" s="1">
        <v>46203</v>
      </c>
      <c r="B834" t="s">
        <v>62</v>
      </c>
      <c r="C834" t="s">
        <v>90</v>
      </c>
      <c r="D834" t="s">
        <v>62</v>
      </c>
      <c r="F834">
        <v>1</v>
      </c>
      <c r="H834">
        <v>12500</v>
      </c>
      <c r="I834">
        <v>1500</v>
      </c>
      <c r="J834" s="8">
        <f>IF(Tableau3[[#This Row],[prospet]]=0,0,Tableau3[[#This Row],[Ventes]]/Tableau3[[#This Row],[prospet]])</f>
        <v>0</v>
      </c>
      <c r="K834">
        <v>4221767</v>
      </c>
    </row>
    <row r="835" spans="1:11" hidden="1" x14ac:dyDescent="0.3">
      <c r="A835" s="1">
        <v>46203</v>
      </c>
      <c r="B835" t="s">
        <v>63</v>
      </c>
      <c r="C835" t="s">
        <v>91</v>
      </c>
      <c r="D835" t="s">
        <v>154</v>
      </c>
      <c r="J835" s="8">
        <f>IF(Tableau3[[#This Row],[prospet]]=0,0,Tableau3[[#This Row],[Ventes]]/Tableau3[[#This Row],[prospet]])</f>
        <v>0</v>
      </c>
      <c r="K835">
        <v>4463888</v>
      </c>
    </row>
    <row r="836" spans="1:11" hidden="1" x14ac:dyDescent="0.3">
      <c r="A836" s="1">
        <v>46203</v>
      </c>
      <c r="B836" t="s">
        <v>64</v>
      </c>
      <c r="D836" t="s">
        <v>64</v>
      </c>
      <c r="J836" s="8">
        <f>IF(Tableau3[[#This Row],[prospet]]=0,0,Tableau3[[#This Row],[Ventes]]/Tableau3[[#This Row],[prospet]])</f>
        <v>0</v>
      </c>
      <c r="K836">
        <v>4080782</v>
      </c>
    </row>
    <row r="837" spans="1:11" hidden="1" x14ac:dyDescent="0.3">
      <c r="A837" s="1">
        <v>46203</v>
      </c>
      <c r="B837" t="s">
        <v>81</v>
      </c>
      <c r="C837" t="s">
        <v>92</v>
      </c>
      <c r="D837" t="s">
        <v>81</v>
      </c>
      <c r="F837">
        <v>2</v>
      </c>
      <c r="H837">
        <f>17500+12500</f>
        <v>30000</v>
      </c>
      <c r="I837">
        <f>3500+1500</f>
        <v>5000</v>
      </c>
      <c r="J837" s="8">
        <f>IF(Tableau3[[#This Row],[prospet]]=0,0,Tableau3[[#This Row],[Ventes]]/Tableau3[[#This Row],[prospet]])</f>
        <v>0</v>
      </c>
      <c r="K837">
        <v>4559847</v>
      </c>
    </row>
    <row r="838" spans="1:11" hidden="1" x14ac:dyDescent="0.3">
      <c r="A838" s="1">
        <v>46203</v>
      </c>
      <c r="B838" t="s">
        <v>82</v>
      </c>
      <c r="C838" t="s">
        <v>11</v>
      </c>
      <c r="D838" t="s">
        <v>82</v>
      </c>
      <c r="J838" s="8">
        <f>IF(Tableau3[[#This Row],[prospet]]=0,0,Tableau3[[#This Row],[Ventes]]/Tableau3[[#This Row],[prospet]])</f>
        <v>0</v>
      </c>
      <c r="K838">
        <v>4541035</v>
      </c>
    </row>
    <row r="839" spans="1:11" hidden="1" x14ac:dyDescent="0.3">
      <c r="A839" s="1">
        <v>46203</v>
      </c>
      <c r="B839" t="s">
        <v>97</v>
      </c>
      <c r="C839" t="s">
        <v>93</v>
      </c>
      <c r="D839" t="s">
        <v>97</v>
      </c>
      <c r="J839" s="8">
        <f>IF(Tableau3[[#This Row],[prospet]]=0,0,Tableau3[[#This Row],[Ventes]]/Tableau3[[#This Row],[prospet]])</f>
        <v>0</v>
      </c>
      <c r="K839">
        <v>4636761</v>
      </c>
    </row>
    <row r="840" spans="1:11" hidden="1" x14ac:dyDescent="0.3">
      <c r="A840" s="1">
        <v>46203</v>
      </c>
      <c r="B840" t="s">
        <v>80</v>
      </c>
      <c r="C840" t="s">
        <v>94</v>
      </c>
      <c r="D840" t="s">
        <v>155</v>
      </c>
      <c r="F840">
        <v>1</v>
      </c>
      <c r="H840">
        <v>20000</v>
      </c>
      <c r="I840">
        <v>2000</v>
      </c>
      <c r="J840" s="8">
        <f>IF(Tableau3[[#This Row],[prospet]]=0,0,Tableau3[[#This Row],[Ventes]]/Tableau3[[#This Row],[prospet]])</f>
        <v>0</v>
      </c>
      <c r="K840">
        <v>4636772</v>
      </c>
    </row>
    <row r="841" spans="1:11" hidden="1" x14ac:dyDescent="0.3">
      <c r="A841" s="1">
        <v>46203</v>
      </c>
      <c r="B841" t="s">
        <v>83</v>
      </c>
      <c r="C841" t="s">
        <v>95</v>
      </c>
      <c r="D841" t="s">
        <v>83</v>
      </c>
      <c r="J841" s="8">
        <f>IF(Tableau3[[#This Row],[prospet]]=0,0,Tableau3[[#This Row],[Ventes]]/Tableau3[[#This Row],[prospet]])</f>
        <v>0</v>
      </c>
      <c r="K841">
        <v>3947053</v>
      </c>
    </row>
    <row r="842" spans="1:11" hidden="1" x14ac:dyDescent="0.3">
      <c r="A842" s="1">
        <v>46203</v>
      </c>
      <c r="B842" t="s">
        <v>84</v>
      </c>
      <c r="C842" t="s">
        <v>96</v>
      </c>
      <c r="D842" t="s">
        <v>84</v>
      </c>
      <c r="J842" s="8">
        <f>IF(Tableau3[[#This Row],[prospet]]=0,0,Tableau3[[#This Row],[Ventes]]/Tableau3[[#This Row],[prospet]])</f>
        <v>0</v>
      </c>
      <c r="K842">
        <v>4587817</v>
      </c>
    </row>
    <row r="843" spans="1:11" hidden="1" x14ac:dyDescent="0.3">
      <c r="A843" s="1">
        <v>46203</v>
      </c>
      <c r="B843" t="s">
        <v>98</v>
      </c>
      <c r="C843" t="s">
        <v>99</v>
      </c>
      <c r="D843" t="s">
        <v>98</v>
      </c>
      <c r="F843">
        <v>2</v>
      </c>
      <c r="H843">
        <f>4000+4000</f>
        <v>8000</v>
      </c>
      <c r="I843">
        <v>2000</v>
      </c>
      <c r="J843" s="8">
        <f>IF(Tableau3[[#This Row],[prospet]]=0,0,Tableau3[[#This Row],[Ventes]]/Tableau3[[#This Row],[prospet]])</f>
        <v>0</v>
      </c>
      <c r="K843">
        <v>3330821</v>
      </c>
    </row>
    <row r="844" spans="1:11" hidden="1" x14ac:dyDescent="0.3">
      <c r="A844" s="1">
        <v>46203</v>
      </c>
      <c r="B844" t="s">
        <v>109</v>
      </c>
      <c r="C844" t="s">
        <v>110</v>
      </c>
      <c r="D844" t="s">
        <v>109</v>
      </c>
      <c r="J844" s="8">
        <f>IF(Tableau3[[#This Row],[prospet]]=0,0,Tableau3[[#This Row],[Ventes]]/Tableau3[[#This Row],[prospet]])</f>
        <v>0</v>
      </c>
      <c r="K844">
        <v>4090831</v>
      </c>
    </row>
    <row r="845" spans="1:11" hidden="1" x14ac:dyDescent="0.3">
      <c r="A845" s="1">
        <v>46203</v>
      </c>
      <c r="B845" t="s">
        <v>111</v>
      </c>
      <c r="C845" t="s">
        <v>138</v>
      </c>
      <c r="D845" t="s">
        <v>115</v>
      </c>
      <c r="F845">
        <v>3</v>
      </c>
      <c r="H845">
        <f>14000</f>
        <v>14000</v>
      </c>
      <c r="I845">
        <f>1000+2000</f>
        <v>3000</v>
      </c>
      <c r="J845" s="8">
        <f>IF(Tableau3[[#This Row],[prospet]]=0,0,Tableau3[[#This Row],[Ventes]]/Tableau3[[#This Row],[prospet]])</f>
        <v>0</v>
      </c>
      <c r="K845">
        <v>4209873</v>
      </c>
    </row>
    <row r="846" spans="1:11" hidden="1" x14ac:dyDescent="0.3">
      <c r="A846" s="1">
        <v>46203</v>
      </c>
      <c r="B846" t="s">
        <v>112</v>
      </c>
      <c r="C846" t="s">
        <v>138</v>
      </c>
      <c r="D846" t="s">
        <v>113</v>
      </c>
      <c r="J846" s="8">
        <f>IF(Tableau3[[#This Row],[prospet]]=0,0,Tableau3[[#This Row],[Ventes]]/Tableau3[[#This Row],[prospet]])</f>
        <v>0</v>
      </c>
      <c r="K846">
        <v>4937885</v>
      </c>
    </row>
    <row r="847" spans="1:11" hidden="1" x14ac:dyDescent="0.3">
      <c r="A847" s="1">
        <v>46203</v>
      </c>
      <c r="B847" t="s">
        <v>152</v>
      </c>
      <c r="D847" t="s">
        <v>152</v>
      </c>
      <c r="J847" s="8">
        <f>IF(Tableau3[[#This Row],[prospet]]=0,0,Tableau3[[#This Row],[Ventes]]/Tableau3[[#This Row],[prospet]])</f>
        <v>0</v>
      </c>
      <c r="K847">
        <v>4476670</v>
      </c>
    </row>
    <row r="848" spans="1:11" hidden="1" x14ac:dyDescent="0.3">
      <c r="A848" s="1" t="s">
        <v>158</v>
      </c>
      <c r="B848" t="s">
        <v>16</v>
      </c>
      <c r="C848" t="s">
        <v>85</v>
      </c>
      <c r="D848" t="s">
        <v>18</v>
      </c>
      <c r="J848" s="8">
        <f>IF(Tableau3[[#This Row],[prospet]]=0,0,Tableau3[[#This Row],[Ventes]]/Tableau3[[#This Row],[prospet]])</f>
        <v>0</v>
      </c>
      <c r="K848">
        <v>4316190</v>
      </c>
    </row>
    <row r="849" spans="1:11" hidden="1" x14ac:dyDescent="0.3">
      <c r="A849" s="1" t="s">
        <v>158</v>
      </c>
      <c r="B849" t="s">
        <v>9</v>
      </c>
      <c r="C849" t="s">
        <v>86</v>
      </c>
      <c r="D849" t="s">
        <v>13</v>
      </c>
      <c r="J849" s="8">
        <f>IF(Tableau3[[#This Row],[prospet]]=0,0,Tableau3[[#This Row],[Ventes]]/Tableau3[[#This Row],[prospet]])</f>
        <v>0</v>
      </c>
      <c r="K849">
        <v>4554529</v>
      </c>
    </row>
    <row r="850" spans="1:11" hidden="1" x14ac:dyDescent="0.3">
      <c r="A850" s="1" t="s">
        <v>158</v>
      </c>
      <c r="B850" t="s">
        <v>43</v>
      </c>
      <c r="C850" t="s">
        <v>11</v>
      </c>
      <c r="D850" t="s">
        <v>43</v>
      </c>
      <c r="J850" s="8">
        <f>IF(Tableau3[[#This Row],[prospet]]=0,0,Tableau3[[#This Row],[Ventes]]/Tableau3[[#This Row],[prospet]])</f>
        <v>0</v>
      </c>
      <c r="K850">
        <v>4348553</v>
      </c>
    </row>
    <row r="851" spans="1:11" hidden="1" x14ac:dyDescent="0.3">
      <c r="A851" s="1" t="s">
        <v>158</v>
      </c>
      <c r="B851" t="s">
        <v>30</v>
      </c>
      <c r="C851" t="s">
        <v>88</v>
      </c>
      <c r="D851" t="s">
        <v>30</v>
      </c>
      <c r="J851" s="8">
        <f>IF(Tableau3[[#This Row],[prospet]]=0,0,Tableau3[[#This Row],[Ventes]]/Tableau3[[#This Row],[prospet]])</f>
        <v>0</v>
      </c>
      <c r="K851">
        <v>4586158</v>
      </c>
    </row>
    <row r="852" spans="1:11" hidden="1" x14ac:dyDescent="0.3">
      <c r="A852" s="1" t="s">
        <v>158</v>
      </c>
      <c r="B852" t="s">
        <v>3</v>
      </c>
      <c r="C852" t="s">
        <v>89</v>
      </c>
      <c r="D852" t="s">
        <v>3</v>
      </c>
      <c r="J852" s="8">
        <f>IF(Tableau3[[#This Row],[prospet]]=0,0,Tableau3[[#This Row],[Ventes]]/Tableau3[[#This Row],[prospet]])</f>
        <v>0</v>
      </c>
      <c r="K852">
        <v>4561858</v>
      </c>
    </row>
    <row r="853" spans="1:11" hidden="1" x14ac:dyDescent="0.3">
      <c r="A853" s="1" t="s">
        <v>158</v>
      </c>
      <c r="B853" t="s">
        <v>60</v>
      </c>
      <c r="C853" t="s">
        <v>85</v>
      </c>
      <c r="D853" t="s">
        <v>61</v>
      </c>
      <c r="J853" s="8">
        <f>IF(Tableau3[[#This Row],[prospet]]=0,0,Tableau3[[#This Row],[Ventes]]/Tableau3[[#This Row],[prospet]])</f>
        <v>0</v>
      </c>
      <c r="K853">
        <v>4587211</v>
      </c>
    </row>
    <row r="854" spans="1:11" hidden="1" x14ac:dyDescent="0.3">
      <c r="A854" s="1" t="s">
        <v>158</v>
      </c>
      <c r="B854" t="s">
        <v>62</v>
      </c>
      <c r="C854" t="s">
        <v>90</v>
      </c>
      <c r="D854" t="s">
        <v>62</v>
      </c>
      <c r="J854" s="8">
        <f>IF(Tableau3[[#This Row],[prospet]]=0,0,Tableau3[[#This Row],[Ventes]]/Tableau3[[#This Row],[prospet]])</f>
        <v>0</v>
      </c>
      <c r="K854">
        <v>4221767</v>
      </c>
    </row>
    <row r="855" spans="1:11" hidden="1" x14ac:dyDescent="0.3">
      <c r="A855" s="1" t="s">
        <v>158</v>
      </c>
      <c r="B855" t="s">
        <v>63</v>
      </c>
      <c r="C855" t="s">
        <v>91</v>
      </c>
      <c r="D855" t="s">
        <v>154</v>
      </c>
      <c r="J855" s="8">
        <f>IF(Tableau3[[#This Row],[prospet]]=0,0,Tableau3[[#This Row],[Ventes]]/Tableau3[[#This Row],[prospet]])</f>
        <v>0</v>
      </c>
      <c r="K855">
        <v>4463888</v>
      </c>
    </row>
    <row r="856" spans="1:11" hidden="1" x14ac:dyDescent="0.3">
      <c r="A856" s="1" t="s">
        <v>158</v>
      </c>
      <c r="B856" t="s">
        <v>64</v>
      </c>
      <c r="D856" t="s">
        <v>64</v>
      </c>
      <c r="J856" s="8">
        <f>IF(Tableau3[[#This Row],[prospet]]=0,0,Tableau3[[#This Row],[Ventes]]/Tableau3[[#This Row],[prospet]])</f>
        <v>0</v>
      </c>
      <c r="K856">
        <v>4080782</v>
      </c>
    </row>
    <row r="857" spans="1:11" hidden="1" x14ac:dyDescent="0.3">
      <c r="A857" s="1" t="s">
        <v>158</v>
      </c>
      <c r="B857" t="s">
        <v>81</v>
      </c>
      <c r="C857" t="s">
        <v>92</v>
      </c>
      <c r="D857" t="s">
        <v>81</v>
      </c>
      <c r="J857" s="8">
        <f>IF(Tableau3[[#This Row],[prospet]]=0,0,Tableau3[[#This Row],[Ventes]]/Tableau3[[#This Row],[prospet]])</f>
        <v>0</v>
      </c>
      <c r="K857">
        <v>4559847</v>
      </c>
    </row>
    <row r="858" spans="1:11" hidden="1" x14ac:dyDescent="0.3">
      <c r="A858" s="1" t="s">
        <v>158</v>
      </c>
      <c r="B858" t="s">
        <v>82</v>
      </c>
      <c r="C858" t="s">
        <v>11</v>
      </c>
      <c r="D858" t="s">
        <v>82</v>
      </c>
      <c r="J858" s="8">
        <f>IF(Tableau3[[#This Row],[prospet]]=0,0,Tableau3[[#This Row],[Ventes]]/Tableau3[[#This Row],[prospet]])</f>
        <v>0</v>
      </c>
      <c r="K858">
        <v>4541035</v>
      </c>
    </row>
    <row r="859" spans="1:11" hidden="1" x14ac:dyDescent="0.3">
      <c r="A859" s="1" t="s">
        <v>158</v>
      </c>
      <c r="B859" t="s">
        <v>97</v>
      </c>
      <c r="C859" t="s">
        <v>93</v>
      </c>
      <c r="D859" t="s">
        <v>97</v>
      </c>
      <c r="J859" s="8">
        <f>IF(Tableau3[[#This Row],[prospet]]=0,0,Tableau3[[#This Row],[Ventes]]/Tableau3[[#This Row],[prospet]])</f>
        <v>0</v>
      </c>
      <c r="K859">
        <v>4636761</v>
      </c>
    </row>
    <row r="860" spans="1:11" hidden="1" x14ac:dyDescent="0.3">
      <c r="A860" s="1" t="s">
        <v>158</v>
      </c>
      <c r="B860" t="s">
        <v>80</v>
      </c>
      <c r="C860" t="s">
        <v>94</v>
      </c>
      <c r="D860" t="s">
        <v>155</v>
      </c>
      <c r="J860" s="8">
        <f>IF(Tableau3[[#This Row],[prospet]]=0,0,Tableau3[[#This Row],[Ventes]]/Tableau3[[#This Row],[prospet]])</f>
        <v>0</v>
      </c>
      <c r="K860">
        <v>4636772</v>
      </c>
    </row>
    <row r="861" spans="1:11" hidden="1" x14ac:dyDescent="0.3">
      <c r="A861" s="1" t="s">
        <v>158</v>
      </c>
      <c r="B861" t="s">
        <v>83</v>
      </c>
      <c r="C861" t="s">
        <v>95</v>
      </c>
      <c r="D861" t="s">
        <v>83</v>
      </c>
      <c r="J861" s="8">
        <f>IF(Tableau3[[#This Row],[prospet]]=0,0,Tableau3[[#This Row],[Ventes]]/Tableau3[[#This Row],[prospet]])</f>
        <v>0</v>
      </c>
      <c r="K861">
        <v>3947053</v>
      </c>
    </row>
    <row r="862" spans="1:11" hidden="1" x14ac:dyDescent="0.3">
      <c r="A862" s="1" t="s">
        <v>158</v>
      </c>
      <c r="B862" t="s">
        <v>84</v>
      </c>
      <c r="C862" t="s">
        <v>96</v>
      </c>
      <c r="D862" t="s">
        <v>84</v>
      </c>
      <c r="J862" s="8">
        <f>IF(Tableau3[[#This Row],[prospet]]=0,0,Tableau3[[#This Row],[Ventes]]/Tableau3[[#This Row],[prospet]])</f>
        <v>0</v>
      </c>
      <c r="K862">
        <v>4587817</v>
      </c>
    </row>
    <row r="863" spans="1:11" hidden="1" x14ac:dyDescent="0.3">
      <c r="A863" s="1" t="s">
        <v>158</v>
      </c>
      <c r="B863" t="s">
        <v>98</v>
      </c>
      <c r="C863" t="s">
        <v>99</v>
      </c>
      <c r="D863" t="s">
        <v>98</v>
      </c>
      <c r="J863" s="8">
        <f>IF(Tableau3[[#This Row],[prospet]]=0,0,Tableau3[[#This Row],[Ventes]]/Tableau3[[#This Row],[prospet]])</f>
        <v>0</v>
      </c>
      <c r="K863">
        <v>3330821</v>
      </c>
    </row>
    <row r="864" spans="1:11" hidden="1" x14ac:dyDescent="0.3">
      <c r="A864" s="1" t="s">
        <v>158</v>
      </c>
      <c r="B864" t="s">
        <v>109</v>
      </c>
      <c r="C864" t="s">
        <v>110</v>
      </c>
      <c r="D864" t="s">
        <v>109</v>
      </c>
      <c r="J864" s="8">
        <f>IF(Tableau3[[#This Row],[prospet]]=0,0,Tableau3[[#This Row],[Ventes]]/Tableau3[[#This Row],[prospet]])</f>
        <v>0</v>
      </c>
      <c r="K864">
        <v>4090831</v>
      </c>
    </row>
    <row r="865" spans="1:11" hidden="1" x14ac:dyDescent="0.3">
      <c r="A865" s="1" t="s">
        <v>158</v>
      </c>
      <c r="B865" t="s">
        <v>111</v>
      </c>
      <c r="C865" t="s">
        <v>138</v>
      </c>
      <c r="D865" t="s">
        <v>115</v>
      </c>
      <c r="J865" s="8">
        <f>IF(Tableau3[[#This Row],[prospet]]=0,0,Tableau3[[#This Row],[Ventes]]/Tableau3[[#This Row],[prospet]])</f>
        <v>0</v>
      </c>
      <c r="K865">
        <v>4209873</v>
      </c>
    </row>
    <row r="866" spans="1:11" hidden="1" x14ac:dyDescent="0.3">
      <c r="A866" s="1" t="s">
        <v>158</v>
      </c>
      <c r="B866" t="s">
        <v>112</v>
      </c>
      <c r="C866" t="s">
        <v>138</v>
      </c>
      <c r="D866" t="s">
        <v>113</v>
      </c>
      <c r="J866" s="8">
        <f>IF(Tableau3[[#This Row],[prospet]]=0,0,Tableau3[[#This Row],[Ventes]]/Tableau3[[#This Row],[prospet]])</f>
        <v>0</v>
      </c>
      <c r="K866">
        <v>4937885</v>
      </c>
    </row>
    <row r="867" spans="1:11" hidden="1" x14ac:dyDescent="0.3">
      <c r="A867" s="1" t="s">
        <v>158</v>
      </c>
      <c r="B867" t="s">
        <v>152</v>
      </c>
      <c r="D867" t="s">
        <v>152</v>
      </c>
      <c r="J867" s="8">
        <f>IF(Tableau3[[#This Row],[prospet]]=0,0,Tableau3[[#This Row],[Ventes]]/Tableau3[[#This Row],[prospet]])</f>
        <v>0</v>
      </c>
      <c r="K867">
        <v>4476670</v>
      </c>
    </row>
    <row r="868" spans="1:11" x14ac:dyDescent="0.3">
      <c r="A868" s="1">
        <v>46204</v>
      </c>
      <c r="B868" t="s">
        <v>16</v>
      </c>
      <c r="C868" t="s">
        <v>85</v>
      </c>
      <c r="D868" t="s">
        <v>18</v>
      </c>
      <c r="F868">
        <v>1</v>
      </c>
      <c r="H868">
        <v>4000</v>
      </c>
      <c r="I868">
        <v>1000</v>
      </c>
      <c r="J868" s="8">
        <f>IF(Tableau3[[#This Row],[prospet]]=0,0,Tableau3[[#This Row],[Ventes]]/Tableau3[[#This Row],[prospet]])</f>
        <v>0</v>
      </c>
      <c r="K868">
        <v>4316190</v>
      </c>
    </row>
    <row r="869" spans="1:11" x14ac:dyDescent="0.3">
      <c r="A869" s="1">
        <v>46204</v>
      </c>
      <c r="B869" t="s">
        <v>9</v>
      </c>
      <c r="C869" t="s">
        <v>86</v>
      </c>
      <c r="D869" t="s">
        <v>13</v>
      </c>
      <c r="F869">
        <v>2</v>
      </c>
      <c r="H869">
        <f>4000+12500</f>
        <v>16500</v>
      </c>
      <c r="I869">
        <f>1000+1500</f>
        <v>2500</v>
      </c>
      <c r="J869" s="8">
        <f>IF(Tableau3[[#This Row],[prospet]]=0,0,Tableau3[[#This Row],[Ventes]]/Tableau3[[#This Row],[prospet]])</f>
        <v>0</v>
      </c>
      <c r="K869">
        <v>4554529</v>
      </c>
    </row>
    <row r="870" spans="1:11" x14ac:dyDescent="0.3">
      <c r="A870" s="1">
        <v>46204</v>
      </c>
      <c r="B870" t="s">
        <v>43</v>
      </c>
      <c r="C870" t="s">
        <v>11</v>
      </c>
      <c r="D870" t="s">
        <v>43</v>
      </c>
      <c r="J870" s="8">
        <f>IF(Tableau3[[#This Row],[prospet]]=0,0,Tableau3[[#This Row],[Ventes]]/Tableau3[[#This Row],[prospet]])</f>
        <v>0</v>
      </c>
      <c r="K870">
        <v>4348553</v>
      </c>
    </row>
    <row r="871" spans="1:11" x14ac:dyDescent="0.3">
      <c r="A871" s="1">
        <v>46204</v>
      </c>
      <c r="B871" t="s">
        <v>30</v>
      </c>
      <c r="C871" t="s">
        <v>88</v>
      </c>
      <c r="D871" t="s">
        <v>30</v>
      </c>
      <c r="J871" s="8">
        <f>IF(Tableau3[[#This Row],[prospet]]=0,0,Tableau3[[#This Row],[Ventes]]/Tableau3[[#This Row],[prospet]])</f>
        <v>0</v>
      </c>
      <c r="K871">
        <v>4586158</v>
      </c>
    </row>
    <row r="872" spans="1:11" x14ac:dyDescent="0.3">
      <c r="A872" s="1">
        <v>46204</v>
      </c>
      <c r="B872" t="s">
        <v>3</v>
      </c>
      <c r="C872" t="s">
        <v>89</v>
      </c>
      <c r="D872" t="s">
        <v>3</v>
      </c>
      <c r="J872" s="8">
        <f>IF(Tableau3[[#This Row],[prospet]]=0,0,Tableau3[[#This Row],[Ventes]]/Tableau3[[#This Row],[prospet]])</f>
        <v>0</v>
      </c>
      <c r="K872">
        <v>4561858</v>
      </c>
    </row>
    <row r="873" spans="1:11" x14ac:dyDescent="0.3">
      <c r="A873" s="1">
        <v>46204</v>
      </c>
      <c r="B873" t="s">
        <v>60</v>
      </c>
      <c r="C873" t="s">
        <v>85</v>
      </c>
      <c r="D873" t="s">
        <v>61</v>
      </c>
      <c r="J873" s="8">
        <f>IF(Tableau3[[#This Row],[prospet]]=0,0,Tableau3[[#This Row],[Ventes]]/Tableau3[[#This Row],[prospet]])</f>
        <v>0</v>
      </c>
      <c r="K873">
        <v>4587211</v>
      </c>
    </row>
    <row r="874" spans="1:11" x14ac:dyDescent="0.3">
      <c r="A874" s="1">
        <v>46204</v>
      </c>
      <c r="B874" t="s">
        <v>62</v>
      </c>
      <c r="C874" t="s">
        <v>90</v>
      </c>
      <c r="D874" t="s">
        <v>62</v>
      </c>
      <c r="J874" s="8">
        <f>IF(Tableau3[[#This Row],[prospet]]=0,0,Tableau3[[#This Row],[Ventes]]/Tableau3[[#This Row],[prospet]])</f>
        <v>0</v>
      </c>
      <c r="K874">
        <v>4221767</v>
      </c>
    </row>
    <row r="875" spans="1:11" x14ac:dyDescent="0.3">
      <c r="A875" s="1">
        <v>46204</v>
      </c>
      <c r="B875" t="s">
        <v>63</v>
      </c>
      <c r="C875" t="s">
        <v>91</v>
      </c>
      <c r="D875" t="s">
        <v>154</v>
      </c>
      <c r="J875" s="8">
        <f>IF(Tableau3[[#This Row],[prospet]]=0,0,Tableau3[[#This Row],[Ventes]]/Tableau3[[#This Row],[prospet]])</f>
        <v>0</v>
      </c>
      <c r="K875">
        <v>4463888</v>
      </c>
    </row>
    <row r="876" spans="1:11" x14ac:dyDescent="0.3">
      <c r="A876" s="1">
        <v>46204</v>
      </c>
      <c r="B876" t="s">
        <v>64</v>
      </c>
      <c r="D876" t="s">
        <v>64</v>
      </c>
      <c r="J876" s="8">
        <f>IF(Tableau3[[#This Row],[prospet]]=0,0,Tableau3[[#This Row],[Ventes]]/Tableau3[[#This Row],[prospet]])</f>
        <v>0</v>
      </c>
      <c r="K876">
        <v>4080782</v>
      </c>
    </row>
    <row r="877" spans="1:11" x14ac:dyDescent="0.3">
      <c r="A877" s="1">
        <v>46204</v>
      </c>
      <c r="B877" t="s">
        <v>81</v>
      </c>
      <c r="C877" t="s">
        <v>92</v>
      </c>
      <c r="D877" t="s">
        <v>81</v>
      </c>
      <c r="J877" s="8">
        <f>IF(Tableau3[[#This Row],[prospet]]=0,0,Tableau3[[#This Row],[Ventes]]/Tableau3[[#This Row],[prospet]])</f>
        <v>0</v>
      </c>
      <c r="K877">
        <v>4559847</v>
      </c>
    </row>
    <row r="878" spans="1:11" x14ac:dyDescent="0.3">
      <c r="A878" s="1">
        <v>46204</v>
      </c>
      <c r="B878" t="s">
        <v>82</v>
      </c>
      <c r="C878" t="s">
        <v>11</v>
      </c>
      <c r="D878" t="s">
        <v>82</v>
      </c>
      <c r="J878" s="8">
        <f>IF(Tableau3[[#This Row],[prospet]]=0,0,Tableau3[[#This Row],[Ventes]]/Tableau3[[#This Row],[prospet]])</f>
        <v>0</v>
      </c>
      <c r="K878">
        <v>4541035</v>
      </c>
    </row>
    <row r="879" spans="1:11" x14ac:dyDescent="0.3">
      <c r="A879" s="1">
        <v>46204</v>
      </c>
      <c r="B879" t="s">
        <v>97</v>
      </c>
      <c r="C879" t="s">
        <v>93</v>
      </c>
      <c r="D879" t="s">
        <v>97</v>
      </c>
      <c r="F879">
        <v>1</v>
      </c>
      <c r="H879">
        <v>4000</v>
      </c>
      <c r="I879">
        <v>1000</v>
      </c>
      <c r="J879" s="8">
        <f>IF(Tableau3[[#This Row],[prospet]]=0,0,Tableau3[[#This Row],[Ventes]]/Tableau3[[#This Row],[prospet]])</f>
        <v>0</v>
      </c>
      <c r="K879">
        <v>4636761</v>
      </c>
    </row>
    <row r="880" spans="1:11" x14ac:dyDescent="0.3">
      <c r="A880" s="1">
        <v>46204</v>
      </c>
      <c r="B880" t="s">
        <v>80</v>
      </c>
      <c r="C880" t="s">
        <v>94</v>
      </c>
      <c r="D880" t="s">
        <v>155</v>
      </c>
      <c r="F880">
        <v>3</v>
      </c>
      <c r="H880">
        <v>12000</v>
      </c>
      <c r="I880">
        <v>3000</v>
      </c>
      <c r="J880" s="8">
        <f>IF(Tableau3[[#This Row],[prospet]]=0,0,Tableau3[[#This Row],[Ventes]]/Tableau3[[#This Row],[prospet]])</f>
        <v>0</v>
      </c>
      <c r="K880">
        <v>4636772</v>
      </c>
    </row>
    <row r="881" spans="1:11" x14ac:dyDescent="0.3">
      <c r="A881" s="1">
        <v>46204</v>
      </c>
      <c r="B881" t="s">
        <v>83</v>
      </c>
      <c r="C881" t="s">
        <v>95</v>
      </c>
      <c r="D881" t="s">
        <v>83</v>
      </c>
      <c r="J881" s="8">
        <f>IF(Tableau3[[#This Row],[prospet]]=0,0,Tableau3[[#This Row],[Ventes]]/Tableau3[[#This Row],[prospet]])</f>
        <v>0</v>
      </c>
      <c r="K881">
        <v>3947053</v>
      </c>
    </row>
    <row r="882" spans="1:11" x14ac:dyDescent="0.3">
      <c r="A882" s="1">
        <v>46204</v>
      </c>
      <c r="B882" t="s">
        <v>84</v>
      </c>
      <c r="C882" t="s">
        <v>96</v>
      </c>
      <c r="D882" t="s">
        <v>84</v>
      </c>
      <c r="F882">
        <v>2</v>
      </c>
      <c r="H882">
        <v>8000</v>
      </c>
      <c r="I882">
        <v>2000</v>
      </c>
      <c r="J882" s="8">
        <f>IF(Tableau3[[#This Row],[prospet]]=0,0,Tableau3[[#This Row],[Ventes]]/Tableau3[[#This Row],[prospet]])</f>
        <v>0</v>
      </c>
      <c r="K882">
        <v>4587817</v>
      </c>
    </row>
    <row r="883" spans="1:11" x14ac:dyDescent="0.3">
      <c r="A883" s="1">
        <v>46204</v>
      </c>
      <c r="B883" t="s">
        <v>98</v>
      </c>
      <c r="C883" t="s">
        <v>99</v>
      </c>
      <c r="D883" t="s">
        <v>98</v>
      </c>
      <c r="J883" s="8">
        <f>IF(Tableau3[[#This Row],[prospet]]=0,0,Tableau3[[#This Row],[Ventes]]/Tableau3[[#This Row],[prospet]])</f>
        <v>0</v>
      </c>
      <c r="K883">
        <v>3330821</v>
      </c>
    </row>
    <row r="884" spans="1:11" x14ac:dyDescent="0.3">
      <c r="A884" s="1">
        <v>46204</v>
      </c>
      <c r="B884" t="s">
        <v>109</v>
      </c>
      <c r="C884" t="s">
        <v>110</v>
      </c>
      <c r="D884" t="s">
        <v>109</v>
      </c>
      <c r="J884" s="8">
        <f>IF(Tableau3[[#This Row],[prospet]]=0,0,Tableau3[[#This Row],[Ventes]]/Tableau3[[#This Row],[prospet]])</f>
        <v>0</v>
      </c>
      <c r="K884">
        <v>4090831</v>
      </c>
    </row>
    <row r="885" spans="1:11" x14ac:dyDescent="0.3">
      <c r="A885" s="1">
        <v>46204</v>
      </c>
      <c r="B885" t="s">
        <v>111</v>
      </c>
      <c r="C885" t="s">
        <v>138</v>
      </c>
      <c r="D885" t="s">
        <v>115</v>
      </c>
      <c r="J885" s="8">
        <f>IF(Tableau3[[#This Row],[prospet]]=0,0,Tableau3[[#This Row],[Ventes]]/Tableau3[[#This Row],[prospet]])</f>
        <v>0</v>
      </c>
      <c r="K885">
        <v>4209873</v>
      </c>
    </row>
    <row r="886" spans="1:11" x14ac:dyDescent="0.3">
      <c r="A886" s="1">
        <v>46204</v>
      </c>
      <c r="B886" t="s">
        <v>112</v>
      </c>
      <c r="C886" t="s">
        <v>138</v>
      </c>
      <c r="D886" t="s">
        <v>113</v>
      </c>
      <c r="F886">
        <v>2</v>
      </c>
      <c r="H886">
        <f>4000+27000</f>
        <v>31000</v>
      </c>
      <c r="I886">
        <f>2500+1000</f>
        <v>3500</v>
      </c>
      <c r="J886" s="8">
        <f>IF(Tableau3[[#This Row],[prospet]]=0,0,Tableau3[[#This Row],[Ventes]]/Tableau3[[#This Row],[prospet]])</f>
        <v>0</v>
      </c>
      <c r="K886">
        <v>4937885</v>
      </c>
    </row>
    <row r="887" spans="1:11" x14ac:dyDescent="0.3">
      <c r="A887" s="1">
        <v>46204</v>
      </c>
      <c r="B887" t="s">
        <v>152</v>
      </c>
      <c r="D887" t="s">
        <v>152</v>
      </c>
      <c r="J887" s="8">
        <f>IF(Tableau3[[#This Row],[prospet]]=0,0,Tableau3[[#This Row],[Ventes]]/Tableau3[[#This Row],[prospet]])</f>
        <v>0</v>
      </c>
      <c r="K887">
        <v>4476670</v>
      </c>
    </row>
    <row r="888" spans="1:11" x14ac:dyDescent="0.3">
      <c r="A888" s="1">
        <v>46205</v>
      </c>
      <c r="B888" t="s">
        <v>16</v>
      </c>
      <c r="C888" t="s">
        <v>85</v>
      </c>
      <c r="D888" t="s">
        <v>18</v>
      </c>
      <c r="F888">
        <v>1</v>
      </c>
      <c r="H888">
        <v>8500</v>
      </c>
      <c r="I888">
        <v>2500</v>
      </c>
      <c r="J888" s="8">
        <f>IF(Tableau3[[#This Row],[prospet]]=0,0,Tableau3[[#This Row],[Ventes]]/Tableau3[[#This Row],[prospet]])</f>
        <v>0</v>
      </c>
      <c r="K888">
        <v>4316190</v>
      </c>
    </row>
    <row r="889" spans="1:11" x14ac:dyDescent="0.3">
      <c r="A889" s="1">
        <v>46205</v>
      </c>
      <c r="B889" t="s">
        <v>9</v>
      </c>
      <c r="C889" t="s">
        <v>86</v>
      </c>
      <c r="D889" t="s">
        <v>13</v>
      </c>
      <c r="J889" s="8">
        <f>IF(Tableau3[[#This Row],[prospet]]=0,0,Tableau3[[#This Row],[Ventes]]/Tableau3[[#This Row],[prospet]])</f>
        <v>0</v>
      </c>
      <c r="K889">
        <v>4554529</v>
      </c>
    </row>
    <row r="890" spans="1:11" x14ac:dyDescent="0.3">
      <c r="A890" s="1">
        <v>46205</v>
      </c>
      <c r="B890" t="s">
        <v>43</v>
      </c>
      <c r="C890" t="s">
        <v>11</v>
      </c>
      <c r="D890" t="s">
        <v>43</v>
      </c>
      <c r="J890" s="8">
        <f>IF(Tableau3[[#This Row],[prospet]]=0,0,Tableau3[[#This Row],[Ventes]]/Tableau3[[#This Row],[prospet]])</f>
        <v>0</v>
      </c>
      <c r="K890">
        <v>4348553</v>
      </c>
    </row>
    <row r="891" spans="1:11" x14ac:dyDescent="0.3">
      <c r="A891" s="1">
        <v>46205</v>
      </c>
      <c r="B891" t="s">
        <v>30</v>
      </c>
      <c r="C891" t="s">
        <v>88</v>
      </c>
      <c r="D891" t="s">
        <v>30</v>
      </c>
      <c r="J891" s="8">
        <f>IF(Tableau3[[#This Row],[prospet]]=0,0,Tableau3[[#This Row],[Ventes]]/Tableau3[[#This Row],[prospet]])</f>
        <v>0</v>
      </c>
      <c r="K891">
        <v>4586158</v>
      </c>
    </row>
    <row r="892" spans="1:11" x14ac:dyDescent="0.3">
      <c r="A892" s="1">
        <v>46205</v>
      </c>
      <c r="B892" t="s">
        <v>3</v>
      </c>
      <c r="C892" t="s">
        <v>89</v>
      </c>
      <c r="D892" t="s">
        <v>3</v>
      </c>
      <c r="J892" s="8">
        <f>IF(Tableau3[[#This Row],[prospet]]=0,0,Tableau3[[#This Row],[Ventes]]/Tableau3[[#This Row],[prospet]])</f>
        <v>0</v>
      </c>
      <c r="K892">
        <v>4561858</v>
      </c>
    </row>
    <row r="893" spans="1:11" x14ac:dyDescent="0.3">
      <c r="A893" s="1">
        <v>46205</v>
      </c>
      <c r="B893" t="s">
        <v>60</v>
      </c>
      <c r="C893" t="s">
        <v>85</v>
      </c>
      <c r="D893" t="s">
        <v>61</v>
      </c>
      <c r="J893" s="8">
        <f>IF(Tableau3[[#This Row],[prospet]]=0,0,Tableau3[[#This Row],[Ventes]]/Tableau3[[#This Row],[prospet]])</f>
        <v>0</v>
      </c>
      <c r="K893">
        <v>4587211</v>
      </c>
    </row>
    <row r="894" spans="1:11" x14ac:dyDescent="0.3">
      <c r="A894" s="1">
        <v>46205</v>
      </c>
      <c r="B894" t="s">
        <v>62</v>
      </c>
      <c r="C894" t="s">
        <v>90</v>
      </c>
      <c r="D894" t="s">
        <v>62</v>
      </c>
      <c r="F894">
        <v>1</v>
      </c>
      <c r="H894">
        <v>9500</v>
      </c>
      <c r="J894" s="8">
        <f>IF(Tableau3[[#This Row],[prospet]]=0,0,Tableau3[[#This Row],[Ventes]]/Tableau3[[#This Row],[prospet]])</f>
        <v>0</v>
      </c>
      <c r="K894">
        <v>4221767</v>
      </c>
    </row>
    <row r="895" spans="1:11" x14ac:dyDescent="0.3">
      <c r="A895" s="1">
        <v>46205</v>
      </c>
      <c r="B895" t="s">
        <v>63</v>
      </c>
      <c r="C895" t="s">
        <v>91</v>
      </c>
      <c r="D895" t="s">
        <v>154</v>
      </c>
      <c r="F895">
        <v>1</v>
      </c>
      <c r="H895">
        <v>4000</v>
      </c>
      <c r="I895">
        <v>1000</v>
      </c>
      <c r="J895" s="8">
        <f>IF(Tableau3[[#This Row],[prospet]]=0,0,Tableau3[[#This Row],[Ventes]]/Tableau3[[#This Row],[prospet]])</f>
        <v>0</v>
      </c>
      <c r="K895">
        <v>4463888</v>
      </c>
    </row>
    <row r="896" spans="1:11" x14ac:dyDescent="0.3">
      <c r="A896" s="1">
        <v>46205</v>
      </c>
      <c r="B896" t="s">
        <v>64</v>
      </c>
      <c r="D896" t="s">
        <v>64</v>
      </c>
      <c r="J896" s="8">
        <f>IF(Tableau3[[#This Row],[prospet]]=0,0,Tableau3[[#This Row],[Ventes]]/Tableau3[[#This Row],[prospet]])</f>
        <v>0</v>
      </c>
      <c r="K896">
        <v>4080782</v>
      </c>
    </row>
    <row r="897" spans="1:11" x14ac:dyDescent="0.3">
      <c r="A897" s="1">
        <v>46205</v>
      </c>
      <c r="B897" t="s">
        <v>81</v>
      </c>
      <c r="C897" t="s">
        <v>92</v>
      </c>
      <c r="D897" t="s">
        <v>81</v>
      </c>
      <c r="J897" s="8">
        <f>IF(Tableau3[[#This Row],[prospet]]=0,0,Tableau3[[#This Row],[Ventes]]/Tableau3[[#This Row],[prospet]])</f>
        <v>0</v>
      </c>
      <c r="K897">
        <v>4559847</v>
      </c>
    </row>
    <row r="898" spans="1:11" x14ac:dyDescent="0.3">
      <c r="A898" s="1">
        <v>46205</v>
      </c>
      <c r="B898" t="s">
        <v>82</v>
      </c>
      <c r="C898" t="s">
        <v>11</v>
      </c>
      <c r="D898" t="s">
        <v>82</v>
      </c>
      <c r="J898" s="8">
        <f>IF(Tableau3[[#This Row],[prospet]]=0,0,Tableau3[[#This Row],[Ventes]]/Tableau3[[#This Row],[prospet]])</f>
        <v>0</v>
      </c>
      <c r="K898">
        <v>4541035</v>
      </c>
    </row>
    <row r="899" spans="1:11" x14ac:dyDescent="0.3">
      <c r="A899" s="1">
        <v>46205</v>
      </c>
      <c r="B899" t="s">
        <v>97</v>
      </c>
      <c r="C899" t="s">
        <v>93</v>
      </c>
      <c r="D899" t="s">
        <v>97</v>
      </c>
      <c r="J899" s="8">
        <f>IF(Tableau3[[#This Row],[prospet]]=0,0,Tableau3[[#This Row],[Ventes]]/Tableau3[[#This Row],[prospet]])</f>
        <v>0</v>
      </c>
      <c r="K899">
        <v>4636761</v>
      </c>
    </row>
    <row r="900" spans="1:11" x14ac:dyDescent="0.3">
      <c r="A900" s="1">
        <v>46205</v>
      </c>
      <c r="B900" t="s">
        <v>80</v>
      </c>
      <c r="C900" t="s">
        <v>94</v>
      </c>
      <c r="D900" t="s">
        <v>155</v>
      </c>
      <c r="F900">
        <v>1</v>
      </c>
      <c r="H900">
        <v>12500</v>
      </c>
      <c r="I900">
        <v>1500</v>
      </c>
      <c r="J900" s="8">
        <f>IF(Tableau3[[#This Row],[prospet]]=0,0,Tableau3[[#This Row],[Ventes]]/Tableau3[[#This Row],[prospet]])</f>
        <v>0</v>
      </c>
      <c r="K900">
        <v>4636772</v>
      </c>
    </row>
    <row r="901" spans="1:11" x14ac:dyDescent="0.3">
      <c r="A901" s="1">
        <v>46205</v>
      </c>
      <c r="B901" t="s">
        <v>83</v>
      </c>
      <c r="C901" t="s">
        <v>95</v>
      </c>
      <c r="D901" t="s">
        <v>83</v>
      </c>
      <c r="J901" s="8">
        <f>IF(Tableau3[[#This Row],[prospet]]=0,0,Tableau3[[#This Row],[Ventes]]/Tableau3[[#This Row],[prospet]])</f>
        <v>0</v>
      </c>
      <c r="K901">
        <v>3947053</v>
      </c>
    </row>
    <row r="902" spans="1:11" x14ac:dyDescent="0.3">
      <c r="A902" s="1">
        <v>46205</v>
      </c>
      <c r="B902" t="s">
        <v>84</v>
      </c>
      <c r="C902" t="s">
        <v>96</v>
      </c>
      <c r="D902" t="s">
        <v>84</v>
      </c>
      <c r="F902">
        <v>1</v>
      </c>
      <c r="H902">
        <v>7500</v>
      </c>
      <c r="I902">
        <v>1500</v>
      </c>
      <c r="J902" s="8">
        <f>IF(Tableau3[[#This Row],[prospet]]=0,0,Tableau3[[#This Row],[Ventes]]/Tableau3[[#This Row],[prospet]])</f>
        <v>0</v>
      </c>
      <c r="K902">
        <v>4587817</v>
      </c>
    </row>
    <row r="903" spans="1:11" x14ac:dyDescent="0.3">
      <c r="A903" s="1">
        <v>46205</v>
      </c>
      <c r="B903" t="s">
        <v>98</v>
      </c>
      <c r="C903" t="s">
        <v>99</v>
      </c>
      <c r="D903" t="s">
        <v>98</v>
      </c>
      <c r="J903" s="8">
        <f>IF(Tableau3[[#This Row],[prospet]]=0,0,Tableau3[[#This Row],[Ventes]]/Tableau3[[#This Row],[prospet]])</f>
        <v>0</v>
      </c>
      <c r="K903">
        <v>3330821</v>
      </c>
    </row>
    <row r="904" spans="1:11" x14ac:dyDescent="0.3">
      <c r="A904" s="1">
        <v>46205</v>
      </c>
      <c r="B904" t="s">
        <v>109</v>
      </c>
      <c r="C904" t="s">
        <v>110</v>
      </c>
      <c r="D904" t="s">
        <v>109</v>
      </c>
      <c r="J904" s="8">
        <f>IF(Tableau3[[#This Row],[prospet]]=0,0,Tableau3[[#This Row],[Ventes]]/Tableau3[[#This Row],[prospet]])</f>
        <v>0</v>
      </c>
      <c r="K904">
        <v>4090831</v>
      </c>
    </row>
    <row r="905" spans="1:11" x14ac:dyDescent="0.3">
      <c r="A905" s="1">
        <v>46205</v>
      </c>
      <c r="B905" t="s">
        <v>111</v>
      </c>
      <c r="C905" t="s">
        <v>138</v>
      </c>
      <c r="D905" t="s">
        <v>115</v>
      </c>
      <c r="J905" s="8">
        <f>IF(Tableau3[[#This Row],[prospet]]=0,0,Tableau3[[#This Row],[Ventes]]/Tableau3[[#This Row],[prospet]])</f>
        <v>0</v>
      </c>
      <c r="K905">
        <v>4209873</v>
      </c>
    </row>
    <row r="906" spans="1:11" x14ac:dyDescent="0.3">
      <c r="A906" s="1">
        <v>46205</v>
      </c>
      <c r="B906" t="s">
        <v>112</v>
      </c>
      <c r="C906" t="s">
        <v>138</v>
      </c>
      <c r="D906" t="s">
        <v>113</v>
      </c>
      <c r="F906">
        <v>1</v>
      </c>
      <c r="H906">
        <v>12000</v>
      </c>
      <c r="I906">
        <v>2000</v>
      </c>
      <c r="J906" s="8">
        <f>IF(Tableau3[[#This Row],[prospet]]=0,0,Tableau3[[#This Row],[Ventes]]/Tableau3[[#This Row],[prospet]])</f>
        <v>0</v>
      </c>
      <c r="K906">
        <v>4937885</v>
      </c>
    </row>
    <row r="907" spans="1:11" x14ac:dyDescent="0.3">
      <c r="A907" s="1">
        <v>46205</v>
      </c>
      <c r="B907" t="s">
        <v>152</v>
      </c>
      <c r="D907" t="s">
        <v>152</v>
      </c>
      <c r="J907" s="8">
        <f>IF(Tableau3[[#This Row],[prospet]]=0,0,Tableau3[[#This Row],[Ventes]]/Tableau3[[#This Row],[prospet]])</f>
        <v>0</v>
      </c>
      <c r="K907">
        <v>4476670</v>
      </c>
    </row>
    <row r="908" spans="1:11" x14ac:dyDescent="0.3">
      <c r="A908" s="1">
        <v>46206</v>
      </c>
      <c r="B908" t="s">
        <v>16</v>
      </c>
      <c r="C908" t="s">
        <v>85</v>
      </c>
      <c r="D908" t="s">
        <v>18</v>
      </c>
      <c r="F908">
        <v>5</v>
      </c>
      <c r="H908">
        <f>17500+4000+9500+8000+12500</f>
        <v>51500</v>
      </c>
      <c r="I908">
        <f>3500+1000+1500</f>
        <v>6000</v>
      </c>
      <c r="J908" s="8">
        <f>IF(Tableau3[[#This Row],[prospet]]=0,0,Tableau3[[#This Row],[Ventes]]/Tableau3[[#This Row],[prospet]])</f>
        <v>0</v>
      </c>
      <c r="K908">
        <v>4316190</v>
      </c>
    </row>
    <row r="909" spans="1:11" x14ac:dyDescent="0.3">
      <c r="A909" s="1">
        <v>46206</v>
      </c>
      <c r="B909" t="s">
        <v>9</v>
      </c>
      <c r="C909" t="s">
        <v>86</v>
      </c>
      <c r="D909" t="s">
        <v>13</v>
      </c>
      <c r="F909">
        <v>5</v>
      </c>
      <c r="H909">
        <f>8000+7500+8000+4000+8000</f>
        <v>35500</v>
      </c>
      <c r="I909">
        <f>1000</f>
        <v>1000</v>
      </c>
      <c r="J909" s="8">
        <f>IF(Tableau3[[#This Row],[prospet]]=0,0,Tableau3[[#This Row],[Ventes]]/Tableau3[[#This Row],[prospet]])</f>
        <v>0</v>
      </c>
      <c r="K909">
        <v>4554529</v>
      </c>
    </row>
    <row r="910" spans="1:11" x14ac:dyDescent="0.3">
      <c r="A910" s="1">
        <v>46206</v>
      </c>
      <c r="B910" t="s">
        <v>43</v>
      </c>
      <c r="C910" t="s">
        <v>11</v>
      </c>
      <c r="D910" t="s">
        <v>43</v>
      </c>
      <c r="F910">
        <v>2</v>
      </c>
      <c r="H910">
        <v>20000</v>
      </c>
      <c r="J910" s="8">
        <f>IF(Tableau3[[#This Row],[prospet]]=0,0,Tableau3[[#This Row],[Ventes]]/Tableau3[[#This Row],[prospet]])</f>
        <v>0</v>
      </c>
      <c r="K910">
        <v>4348553</v>
      </c>
    </row>
    <row r="911" spans="1:11" x14ac:dyDescent="0.3">
      <c r="A911" s="1">
        <v>46206</v>
      </c>
      <c r="B911" t="s">
        <v>30</v>
      </c>
      <c r="C911" t="s">
        <v>88</v>
      </c>
      <c r="D911" t="s">
        <v>30</v>
      </c>
      <c r="F911">
        <v>1</v>
      </c>
      <c r="H911">
        <v>12500</v>
      </c>
      <c r="I911">
        <v>2500</v>
      </c>
      <c r="J911" s="8">
        <f>IF(Tableau3[[#This Row],[prospet]]=0,0,Tableau3[[#This Row],[Ventes]]/Tableau3[[#This Row],[prospet]])</f>
        <v>0</v>
      </c>
      <c r="K911">
        <v>4586158</v>
      </c>
    </row>
    <row r="912" spans="1:11" x14ac:dyDescent="0.3">
      <c r="A912" s="1">
        <v>46206</v>
      </c>
      <c r="B912" t="s">
        <v>3</v>
      </c>
      <c r="C912" t="s">
        <v>89</v>
      </c>
      <c r="D912" t="s">
        <v>3</v>
      </c>
      <c r="J912" s="8">
        <f>IF(Tableau3[[#This Row],[prospet]]=0,0,Tableau3[[#This Row],[Ventes]]/Tableau3[[#This Row],[prospet]])</f>
        <v>0</v>
      </c>
      <c r="K912">
        <v>4561858</v>
      </c>
    </row>
    <row r="913" spans="1:13" x14ac:dyDescent="0.3">
      <c r="A913" s="1">
        <v>46206</v>
      </c>
      <c r="B913" t="s">
        <v>60</v>
      </c>
      <c r="C913" t="s">
        <v>85</v>
      </c>
      <c r="D913" t="s">
        <v>61</v>
      </c>
      <c r="J913" s="8">
        <f>IF(Tableau3[[#This Row],[prospet]]=0,0,Tableau3[[#This Row],[Ventes]]/Tableau3[[#This Row],[prospet]])</f>
        <v>0</v>
      </c>
      <c r="K913">
        <v>4587211</v>
      </c>
    </row>
    <row r="914" spans="1:13" x14ac:dyDescent="0.3">
      <c r="A914" s="1">
        <v>46206</v>
      </c>
      <c r="B914" t="s">
        <v>62</v>
      </c>
      <c r="C914" t="s">
        <v>90</v>
      </c>
      <c r="D914" t="s">
        <v>62</v>
      </c>
      <c r="F914">
        <v>1</v>
      </c>
      <c r="H914">
        <v>8000</v>
      </c>
      <c r="J914" s="8">
        <f>IF(Tableau3[[#This Row],[prospet]]=0,0,Tableau3[[#This Row],[Ventes]]/Tableau3[[#This Row],[prospet]])</f>
        <v>0</v>
      </c>
      <c r="K914">
        <v>4221767</v>
      </c>
    </row>
    <row r="915" spans="1:13" x14ac:dyDescent="0.3">
      <c r="A915" s="1">
        <v>46206</v>
      </c>
      <c r="B915" t="s">
        <v>63</v>
      </c>
      <c r="C915" t="s">
        <v>91</v>
      </c>
      <c r="D915" t="s">
        <v>154</v>
      </c>
      <c r="J915" s="8">
        <f>IF(Tableau3[[#This Row],[prospet]]=0,0,Tableau3[[#This Row],[Ventes]]/Tableau3[[#This Row],[prospet]])</f>
        <v>0</v>
      </c>
      <c r="K915">
        <v>4463888</v>
      </c>
    </row>
    <row r="916" spans="1:13" x14ac:dyDescent="0.3">
      <c r="A916" s="1">
        <v>46206</v>
      </c>
      <c r="B916" t="s">
        <v>64</v>
      </c>
      <c r="D916" t="s">
        <v>64</v>
      </c>
      <c r="J916" s="8">
        <f>IF(Tableau3[[#This Row],[prospet]]=0,0,Tableau3[[#This Row],[Ventes]]/Tableau3[[#This Row],[prospet]])</f>
        <v>0</v>
      </c>
      <c r="K916">
        <v>4080782</v>
      </c>
    </row>
    <row r="917" spans="1:13" x14ac:dyDescent="0.3">
      <c r="A917" s="1">
        <v>46206</v>
      </c>
      <c r="B917" t="s">
        <v>81</v>
      </c>
      <c r="C917" t="s">
        <v>92</v>
      </c>
      <c r="D917" t="s">
        <v>81</v>
      </c>
      <c r="F917">
        <v>1</v>
      </c>
      <c r="H917">
        <v>12500</v>
      </c>
      <c r="I917">
        <v>1500</v>
      </c>
      <c r="J917" s="8">
        <f>IF(Tableau3[[#This Row],[prospet]]=0,0,Tableau3[[#This Row],[Ventes]]/Tableau3[[#This Row],[prospet]])</f>
        <v>0</v>
      </c>
      <c r="K917">
        <v>4559847</v>
      </c>
    </row>
    <row r="918" spans="1:13" x14ac:dyDescent="0.3">
      <c r="A918" s="1">
        <v>46206</v>
      </c>
      <c r="B918" t="s">
        <v>82</v>
      </c>
      <c r="C918" t="s">
        <v>11</v>
      </c>
      <c r="D918" t="s">
        <v>82</v>
      </c>
      <c r="J918" s="8">
        <f>IF(Tableau3[[#This Row],[prospet]]=0,0,Tableau3[[#This Row],[Ventes]]/Tableau3[[#This Row],[prospet]])</f>
        <v>0</v>
      </c>
      <c r="K918">
        <v>4541035</v>
      </c>
    </row>
    <row r="919" spans="1:13" x14ac:dyDescent="0.3">
      <c r="A919" s="1">
        <v>46206</v>
      </c>
      <c r="B919" t="s">
        <v>97</v>
      </c>
      <c r="C919" t="s">
        <v>93</v>
      </c>
      <c r="D919" t="s">
        <v>97</v>
      </c>
      <c r="J919" s="8">
        <f>IF(Tableau3[[#This Row],[prospet]]=0,0,Tableau3[[#This Row],[Ventes]]/Tableau3[[#This Row],[prospet]])</f>
        <v>0</v>
      </c>
      <c r="K919">
        <v>4636761</v>
      </c>
    </row>
    <row r="920" spans="1:13" x14ac:dyDescent="0.3">
      <c r="A920" s="1">
        <v>46206</v>
      </c>
      <c r="B920" t="s">
        <v>80</v>
      </c>
      <c r="C920" t="s">
        <v>94</v>
      </c>
      <c r="D920" t="s">
        <v>155</v>
      </c>
      <c r="F920">
        <v>4</v>
      </c>
      <c r="H920">
        <f>8500+4000+12500+12500</f>
        <v>37500</v>
      </c>
      <c r="I920">
        <f>1000+2500+1500</f>
        <v>5000</v>
      </c>
      <c r="J920" s="8">
        <f>IF(Tableau3[[#This Row],[prospet]]=0,0,Tableau3[[#This Row],[Ventes]]/Tableau3[[#This Row],[prospet]])</f>
        <v>0</v>
      </c>
      <c r="K920">
        <v>4636772</v>
      </c>
    </row>
    <row r="921" spans="1:13" x14ac:dyDescent="0.3">
      <c r="A921" s="1">
        <v>46206</v>
      </c>
      <c r="B921" t="s">
        <v>83</v>
      </c>
      <c r="C921" t="s">
        <v>95</v>
      </c>
      <c r="D921" t="s">
        <v>83</v>
      </c>
      <c r="J921" s="8">
        <f>IF(Tableau3[[#This Row],[prospet]]=0,0,Tableau3[[#This Row],[Ventes]]/Tableau3[[#This Row],[prospet]])</f>
        <v>0</v>
      </c>
      <c r="K921">
        <v>3947053</v>
      </c>
    </row>
    <row r="922" spans="1:13" x14ac:dyDescent="0.3">
      <c r="A922" s="1">
        <v>46206</v>
      </c>
      <c r="B922" t="s">
        <v>84</v>
      </c>
      <c r="C922" t="s">
        <v>96</v>
      </c>
      <c r="D922" t="s">
        <v>84</v>
      </c>
      <c r="F922">
        <v>1</v>
      </c>
      <c r="H922">
        <v>4000</v>
      </c>
      <c r="J922" s="8">
        <f>IF(Tableau3[[#This Row],[prospet]]=0,0,Tableau3[[#This Row],[Ventes]]/Tableau3[[#This Row],[prospet]])</f>
        <v>0</v>
      </c>
      <c r="K922">
        <v>4587817</v>
      </c>
    </row>
    <row r="923" spans="1:13" x14ac:dyDescent="0.3">
      <c r="A923" s="1">
        <v>46206</v>
      </c>
      <c r="B923" t="s">
        <v>98</v>
      </c>
      <c r="C923" t="s">
        <v>99</v>
      </c>
      <c r="D923" t="s">
        <v>98</v>
      </c>
      <c r="J923" s="8">
        <f>IF(Tableau3[[#This Row],[prospet]]=0,0,Tableau3[[#This Row],[Ventes]]/Tableau3[[#This Row],[prospet]])</f>
        <v>0</v>
      </c>
      <c r="K923">
        <v>3330821</v>
      </c>
    </row>
    <row r="924" spans="1:13" x14ac:dyDescent="0.3">
      <c r="A924" s="1">
        <v>46206</v>
      </c>
      <c r="B924" t="s">
        <v>109</v>
      </c>
      <c r="C924" t="s">
        <v>110</v>
      </c>
      <c r="D924" t="s">
        <v>109</v>
      </c>
      <c r="J924" s="8">
        <f>IF(Tableau3[[#This Row],[prospet]]=0,0,Tableau3[[#This Row],[Ventes]]/Tableau3[[#This Row],[prospet]])</f>
        <v>0</v>
      </c>
      <c r="K924">
        <v>4090831</v>
      </c>
      <c r="M924" t="s">
        <v>180</v>
      </c>
    </row>
    <row r="925" spans="1:13" x14ac:dyDescent="0.3">
      <c r="A925" s="1">
        <v>46206</v>
      </c>
      <c r="B925" t="s">
        <v>111</v>
      </c>
      <c r="C925" t="s">
        <v>138</v>
      </c>
      <c r="D925" t="s">
        <v>115</v>
      </c>
      <c r="F925">
        <v>2</v>
      </c>
      <c r="H925">
        <f>15000+12500</f>
        <v>27500</v>
      </c>
      <c r="I925">
        <f>2500+2500</f>
        <v>5000</v>
      </c>
      <c r="J925" s="8">
        <f>IF(Tableau3[[#This Row],[prospet]]=0,0,Tableau3[[#This Row],[Ventes]]/Tableau3[[#This Row],[prospet]])</f>
        <v>0</v>
      </c>
      <c r="K925">
        <v>4209873</v>
      </c>
    </row>
    <row r="926" spans="1:13" x14ac:dyDescent="0.3">
      <c r="A926" s="1">
        <v>46206</v>
      </c>
      <c r="B926" t="s">
        <v>112</v>
      </c>
      <c r="C926" t="s">
        <v>138</v>
      </c>
      <c r="D926" t="s">
        <v>113</v>
      </c>
      <c r="J926" s="8">
        <f>IF(Tableau3[[#This Row],[prospet]]=0,0,Tableau3[[#This Row],[Ventes]]/Tableau3[[#This Row],[prospet]])</f>
        <v>0</v>
      </c>
      <c r="K926">
        <v>4937885</v>
      </c>
    </row>
    <row r="927" spans="1:13" x14ac:dyDescent="0.3">
      <c r="A927" s="1">
        <v>46206</v>
      </c>
      <c r="B927" t="s">
        <v>152</v>
      </c>
      <c r="D927" t="s">
        <v>152</v>
      </c>
      <c r="J927" s="8">
        <f>IF(Tableau3[[#This Row],[prospet]]=0,0,Tableau3[[#This Row],[Ventes]]/Tableau3[[#This Row],[prospet]])</f>
        <v>0</v>
      </c>
      <c r="K927">
        <v>4476670</v>
      </c>
    </row>
    <row r="928" spans="1:13" x14ac:dyDescent="0.3">
      <c r="A928" s="1">
        <v>46207</v>
      </c>
      <c r="B928" t="s">
        <v>16</v>
      </c>
      <c r="C928" t="s">
        <v>85</v>
      </c>
      <c r="D928" t="s">
        <v>18</v>
      </c>
      <c r="E928">
        <v>5</v>
      </c>
      <c r="F928">
        <v>1</v>
      </c>
      <c r="G928" s="2">
        <v>0.19</v>
      </c>
      <c r="H928">
        <v>4000</v>
      </c>
      <c r="I928">
        <v>1000</v>
      </c>
      <c r="J928" s="8">
        <f>IF(Tableau3[[#This Row],[prospet]]=0,0,Tableau3[[#This Row],[Ventes]]/Tableau3[[#This Row],[prospet]])</f>
        <v>0.2</v>
      </c>
      <c r="K928">
        <v>4316190</v>
      </c>
    </row>
    <row r="929" spans="1:11" x14ac:dyDescent="0.3">
      <c r="A929" s="1">
        <v>46207</v>
      </c>
      <c r="B929" t="s">
        <v>9</v>
      </c>
      <c r="C929" t="s">
        <v>86</v>
      </c>
      <c r="D929" t="s">
        <v>13</v>
      </c>
      <c r="J929" s="8">
        <f>IF(Tableau3[[#This Row],[prospet]]=0,0,Tableau3[[#This Row],[Ventes]]/Tableau3[[#This Row],[prospet]])</f>
        <v>0</v>
      </c>
      <c r="K929">
        <v>4554529</v>
      </c>
    </row>
    <row r="930" spans="1:11" x14ac:dyDescent="0.3">
      <c r="A930" s="1">
        <v>46207</v>
      </c>
      <c r="B930" t="s">
        <v>43</v>
      </c>
      <c r="C930" t="s">
        <v>11</v>
      </c>
      <c r="D930" t="s">
        <v>43</v>
      </c>
      <c r="E930">
        <v>10</v>
      </c>
      <c r="F930">
        <v>2</v>
      </c>
      <c r="G930" s="2">
        <v>0.16</v>
      </c>
      <c r="H930">
        <f>12500+4000</f>
        <v>16500</v>
      </c>
      <c r="I930">
        <f>1500+1000</f>
        <v>2500</v>
      </c>
      <c r="J930" s="8">
        <f>IF(Tableau3[[#This Row],[prospet]]=0,0,Tableau3[[#This Row],[Ventes]]/Tableau3[[#This Row],[prospet]])</f>
        <v>0.2</v>
      </c>
      <c r="K930">
        <v>4348553</v>
      </c>
    </row>
    <row r="931" spans="1:11" x14ac:dyDescent="0.3">
      <c r="A931" s="1">
        <v>46207</v>
      </c>
      <c r="B931" t="s">
        <v>30</v>
      </c>
      <c r="C931" t="s">
        <v>88</v>
      </c>
      <c r="D931" t="s">
        <v>30</v>
      </c>
      <c r="E931">
        <v>1</v>
      </c>
      <c r="F931">
        <v>1</v>
      </c>
      <c r="G931" s="2">
        <v>0.11</v>
      </c>
      <c r="H931">
        <v>9600</v>
      </c>
      <c r="I931">
        <v>2500</v>
      </c>
      <c r="J931" s="8">
        <f>IF(Tableau3[[#This Row],[prospet]]=0,0,Tableau3[[#This Row],[Ventes]]/Tableau3[[#This Row],[prospet]])</f>
        <v>1</v>
      </c>
      <c r="K931">
        <v>4586158</v>
      </c>
    </row>
    <row r="932" spans="1:11" x14ac:dyDescent="0.3">
      <c r="A932" s="1">
        <v>46207</v>
      </c>
      <c r="B932" t="s">
        <v>3</v>
      </c>
      <c r="C932" t="s">
        <v>89</v>
      </c>
      <c r="D932" t="s">
        <v>3</v>
      </c>
      <c r="J932" s="8">
        <f>IF(Tableau3[[#This Row],[prospet]]=0,0,Tableau3[[#This Row],[Ventes]]/Tableau3[[#This Row],[prospet]])</f>
        <v>0</v>
      </c>
      <c r="K932">
        <v>4561858</v>
      </c>
    </row>
    <row r="933" spans="1:11" x14ac:dyDescent="0.3">
      <c r="A933" s="1">
        <v>46207</v>
      </c>
      <c r="B933" t="s">
        <v>60</v>
      </c>
      <c r="C933" t="s">
        <v>85</v>
      </c>
      <c r="D933" t="s">
        <v>61</v>
      </c>
      <c r="J933" s="8">
        <f>IF(Tableau3[[#This Row],[prospet]]=0,0,Tableau3[[#This Row],[Ventes]]/Tableau3[[#This Row],[prospet]])</f>
        <v>0</v>
      </c>
      <c r="K933">
        <v>4587211</v>
      </c>
    </row>
    <row r="934" spans="1:11" x14ac:dyDescent="0.3">
      <c r="A934" s="1">
        <v>46207</v>
      </c>
      <c r="B934" t="s">
        <v>62</v>
      </c>
      <c r="C934" t="s">
        <v>90</v>
      </c>
      <c r="D934" t="s">
        <v>62</v>
      </c>
      <c r="F934">
        <v>2</v>
      </c>
      <c r="H934">
        <f>10000+9000</f>
        <v>19000</v>
      </c>
      <c r="J934" s="8">
        <f>IF(Tableau3[[#This Row],[prospet]]=0,0,Tableau3[[#This Row],[Ventes]]/Tableau3[[#This Row],[prospet]])</f>
        <v>0</v>
      </c>
      <c r="K934">
        <v>4221767</v>
      </c>
    </row>
    <row r="935" spans="1:11" x14ac:dyDescent="0.3">
      <c r="A935" s="1">
        <v>46207</v>
      </c>
      <c r="B935" t="s">
        <v>63</v>
      </c>
      <c r="C935" t="s">
        <v>91</v>
      </c>
      <c r="D935" t="s">
        <v>154</v>
      </c>
      <c r="J935" s="8">
        <f>IF(Tableau3[[#This Row],[prospet]]=0,0,Tableau3[[#This Row],[Ventes]]/Tableau3[[#This Row],[prospet]])</f>
        <v>0</v>
      </c>
      <c r="K935">
        <v>4463888</v>
      </c>
    </row>
    <row r="936" spans="1:11" x14ac:dyDescent="0.3">
      <c r="A936" s="1">
        <v>46207</v>
      </c>
      <c r="B936" t="s">
        <v>64</v>
      </c>
      <c r="D936" t="s">
        <v>64</v>
      </c>
      <c r="J936" s="8">
        <f>IF(Tableau3[[#This Row],[prospet]]=0,0,Tableau3[[#This Row],[Ventes]]/Tableau3[[#This Row],[prospet]])</f>
        <v>0</v>
      </c>
      <c r="K936">
        <v>4080782</v>
      </c>
    </row>
    <row r="937" spans="1:11" x14ac:dyDescent="0.3">
      <c r="A937" s="1">
        <v>46207</v>
      </c>
      <c r="B937" t="s">
        <v>81</v>
      </c>
      <c r="C937" t="s">
        <v>92</v>
      </c>
      <c r="D937" t="s">
        <v>81</v>
      </c>
      <c r="E937">
        <v>4</v>
      </c>
      <c r="F937">
        <v>1</v>
      </c>
      <c r="G937" s="2">
        <v>0.13</v>
      </c>
      <c r="H937">
        <v>10000</v>
      </c>
      <c r="I937">
        <v>1500</v>
      </c>
      <c r="J937" s="8">
        <f>IF(Tableau3[[#This Row],[prospet]]=0,0,Tableau3[[#This Row],[Ventes]]/Tableau3[[#This Row],[prospet]])</f>
        <v>0.25</v>
      </c>
      <c r="K937">
        <v>4559847</v>
      </c>
    </row>
    <row r="938" spans="1:11" x14ac:dyDescent="0.3">
      <c r="A938" s="1">
        <v>46207</v>
      </c>
      <c r="B938" t="s">
        <v>82</v>
      </c>
      <c r="C938" t="s">
        <v>11</v>
      </c>
      <c r="D938" t="s">
        <v>82</v>
      </c>
      <c r="J938" s="8">
        <f>IF(Tableau3[[#This Row],[prospet]]=0,0,Tableau3[[#This Row],[Ventes]]/Tableau3[[#This Row],[prospet]])</f>
        <v>0</v>
      </c>
      <c r="K938">
        <v>4541035</v>
      </c>
    </row>
    <row r="939" spans="1:11" x14ac:dyDescent="0.3">
      <c r="A939" s="1">
        <v>46207</v>
      </c>
      <c r="B939" t="s">
        <v>97</v>
      </c>
      <c r="C939" t="s">
        <v>93</v>
      </c>
      <c r="D939" t="s">
        <v>97</v>
      </c>
      <c r="E939">
        <v>5</v>
      </c>
      <c r="G939" s="2">
        <v>0.11</v>
      </c>
      <c r="J939" s="8">
        <f>IF(Tableau3[[#This Row],[prospet]]=0,0,Tableau3[[#This Row],[Ventes]]/Tableau3[[#This Row],[prospet]])</f>
        <v>0</v>
      </c>
      <c r="K939">
        <v>4636761</v>
      </c>
    </row>
    <row r="940" spans="1:11" x14ac:dyDescent="0.3">
      <c r="A940" s="1">
        <v>46207</v>
      </c>
      <c r="B940" t="s">
        <v>80</v>
      </c>
      <c r="C940" t="s">
        <v>94</v>
      </c>
      <c r="D940" t="s">
        <v>155</v>
      </c>
      <c r="E940">
        <v>5</v>
      </c>
      <c r="G940" s="2">
        <v>0.24</v>
      </c>
      <c r="J940" s="8">
        <f>IF(Tableau3[[#This Row],[prospet]]=0,0,Tableau3[[#This Row],[Ventes]]/Tableau3[[#This Row],[prospet]])</f>
        <v>0</v>
      </c>
      <c r="K940">
        <v>4636772</v>
      </c>
    </row>
    <row r="941" spans="1:11" x14ac:dyDescent="0.3">
      <c r="A941" s="1">
        <v>46207</v>
      </c>
      <c r="B941" t="s">
        <v>83</v>
      </c>
      <c r="C941" t="s">
        <v>95</v>
      </c>
      <c r="D941" t="s">
        <v>83</v>
      </c>
      <c r="J941" s="8">
        <f>IF(Tableau3[[#This Row],[prospet]]=0,0,Tableau3[[#This Row],[Ventes]]/Tableau3[[#This Row],[prospet]])</f>
        <v>0</v>
      </c>
      <c r="K941">
        <v>3947053</v>
      </c>
    </row>
    <row r="942" spans="1:11" x14ac:dyDescent="0.3">
      <c r="A942" s="1">
        <v>46207</v>
      </c>
      <c r="B942" t="s">
        <v>84</v>
      </c>
      <c r="C942" t="s">
        <v>96</v>
      </c>
      <c r="D942" t="s">
        <v>84</v>
      </c>
      <c r="E942">
        <v>5</v>
      </c>
      <c r="G942" s="2">
        <v>0.1</v>
      </c>
      <c r="J942" s="8">
        <f>IF(Tableau3[[#This Row],[prospet]]=0,0,Tableau3[[#This Row],[Ventes]]/Tableau3[[#This Row],[prospet]])</f>
        <v>0</v>
      </c>
      <c r="K942">
        <v>4587817</v>
      </c>
    </row>
    <row r="943" spans="1:11" x14ac:dyDescent="0.3">
      <c r="A943" s="1">
        <v>46207</v>
      </c>
      <c r="B943" t="s">
        <v>98</v>
      </c>
      <c r="C943" t="s">
        <v>99</v>
      </c>
      <c r="D943" t="s">
        <v>98</v>
      </c>
      <c r="F943">
        <v>1</v>
      </c>
      <c r="H943">
        <v>10000</v>
      </c>
      <c r="I943">
        <v>2500</v>
      </c>
      <c r="J943" s="8">
        <f>IF(Tableau3[[#This Row],[prospet]]=0,0,Tableau3[[#This Row],[Ventes]]/Tableau3[[#This Row],[prospet]])</f>
        <v>0</v>
      </c>
      <c r="K943">
        <v>3330821</v>
      </c>
    </row>
    <row r="944" spans="1:11" x14ac:dyDescent="0.3">
      <c r="A944" s="1">
        <v>46207</v>
      </c>
      <c r="B944" t="s">
        <v>109</v>
      </c>
      <c r="C944" t="s">
        <v>110</v>
      </c>
      <c r="D944" t="s">
        <v>109</v>
      </c>
      <c r="J944" s="8">
        <f>IF(Tableau3[[#This Row],[prospet]]=0,0,Tableau3[[#This Row],[Ventes]]/Tableau3[[#This Row],[prospet]])</f>
        <v>0</v>
      </c>
      <c r="K944">
        <v>4090831</v>
      </c>
    </row>
    <row r="945" spans="1:11" x14ac:dyDescent="0.3">
      <c r="A945" s="1">
        <v>46207</v>
      </c>
      <c r="B945" t="s">
        <v>111</v>
      </c>
      <c r="C945" t="s">
        <v>138</v>
      </c>
      <c r="D945" t="s">
        <v>115</v>
      </c>
      <c r="J945" s="8">
        <f>IF(Tableau3[[#This Row],[prospet]]=0,0,Tableau3[[#This Row],[Ventes]]/Tableau3[[#This Row],[prospet]])</f>
        <v>0</v>
      </c>
      <c r="K945">
        <v>4209873</v>
      </c>
    </row>
    <row r="946" spans="1:11" x14ac:dyDescent="0.3">
      <c r="A946" s="1">
        <v>46207</v>
      </c>
      <c r="B946" t="s">
        <v>112</v>
      </c>
      <c r="C946" t="s">
        <v>138</v>
      </c>
      <c r="D946" t="s">
        <v>113</v>
      </c>
      <c r="J946" s="8">
        <f>IF(Tableau3[[#This Row],[prospet]]=0,0,Tableau3[[#This Row],[Ventes]]/Tableau3[[#This Row],[prospet]])</f>
        <v>0</v>
      </c>
      <c r="K946">
        <v>4937885</v>
      </c>
    </row>
    <row r="947" spans="1:11" x14ac:dyDescent="0.3">
      <c r="A947" s="1">
        <v>46207</v>
      </c>
      <c r="B947" t="s">
        <v>152</v>
      </c>
      <c r="D947" t="s">
        <v>152</v>
      </c>
      <c r="J947" s="8">
        <f>IF(Tableau3[[#This Row],[prospet]]=0,0,Tableau3[[#This Row],[Ventes]]/Tableau3[[#This Row],[prospet]])</f>
        <v>0</v>
      </c>
      <c r="K947">
        <v>4476670</v>
      </c>
    </row>
    <row r="948" spans="1:11" x14ac:dyDescent="0.3">
      <c r="A948" s="1">
        <v>46208</v>
      </c>
      <c r="B948" t="s">
        <v>16</v>
      </c>
      <c r="C948" t="s">
        <v>85</v>
      </c>
      <c r="D948" t="s">
        <v>18</v>
      </c>
      <c r="E948">
        <v>12</v>
      </c>
      <c r="F948">
        <v>1</v>
      </c>
      <c r="G948" s="2">
        <v>0.81</v>
      </c>
      <c r="J948" s="8">
        <f>IF(Tableau3[[#This Row],[prospet]]=0,0,Tableau3[[#This Row],[Ventes]]/Tableau3[[#This Row],[prospet]])</f>
        <v>8.3333333333333329E-2</v>
      </c>
      <c r="K948">
        <v>4316190</v>
      </c>
    </row>
    <row r="949" spans="1:11" x14ac:dyDescent="0.3">
      <c r="A949" s="1">
        <v>46208</v>
      </c>
      <c r="B949" t="s">
        <v>9</v>
      </c>
      <c r="C949" t="s">
        <v>86</v>
      </c>
      <c r="D949" t="s">
        <v>13</v>
      </c>
      <c r="E949">
        <v>18</v>
      </c>
      <c r="G949" s="2">
        <v>1.07</v>
      </c>
      <c r="J949" s="8">
        <f>IF(Tableau3[[#This Row],[prospet]]=0,0,Tableau3[[#This Row],[Ventes]]/Tableau3[[#This Row],[prospet]])</f>
        <v>0</v>
      </c>
      <c r="K949">
        <v>4554529</v>
      </c>
    </row>
    <row r="950" spans="1:11" x14ac:dyDescent="0.3">
      <c r="A950" s="1">
        <v>46208</v>
      </c>
      <c r="B950" t="s">
        <v>43</v>
      </c>
      <c r="C950" t="s">
        <v>11</v>
      </c>
      <c r="D950" t="s">
        <v>43</v>
      </c>
      <c r="E950">
        <v>17</v>
      </c>
      <c r="G950" s="2">
        <v>1.75</v>
      </c>
      <c r="J950" s="8">
        <f>IF(Tableau3[[#This Row],[prospet]]=0,0,Tableau3[[#This Row],[Ventes]]/Tableau3[[#This Row],[prospet]])</f>
        <v>0</v>
      </c>
      <c r="K950">
        <v>4348553</v>
      </c>
    </row>
    <row r="951" spans="1:11" x14ac:dyDescent="0.3">
      <c r="A951" s="1">
        <v>46208</v>
      </c>
      <c r="B951" t="s">
        <v>30</v>
      </c>
      <c r="C951" t="s">
        <v>88</v>
      </c>
      <c r="D951" t="s">
        <v>30</v>
      </c>
      <c r="E951">
        <v>5</v>
      </c>
      <c r="G951" s="2">
        <v>0.56000000000000005</v>
      </c>
      <c r="J951" s="8">
        <f>IF(Tableau3[[#This Row],[prospet]]=0,0,Tableau3[[#This Row],[Ventes]]/Tableau3[[#This Row],[prospet]])</f>
        <v>0</v>
      </c>
      <c r="K951">
        <v>4586158</v>
      </c>
    </row>
    <row r="952" spans="1:11" x14ac:dyDescent="0.3">
      <c r="A952" s="1">
        <v>46208</v>
      </c>
      <c r="B952" t="s">
        <v>3</v>
      </c>
      <c r="C952" t="s">
        <v>89</v>
      </c>
      <c r="D952" t="s">
        <v>3</v>
      </c>
      <c r="J952" s="8">
        <f>IF(Tableau3[[#This Row],[prospet]]=0,0,Tableau3[[#This Row],[Ventes]]/Tableau3[[#This Row],[prospet]])</f>
        <v>0</v>
      </c>
      <c r="K952">
        <v>4561858</v>
      </c>
    </row>
    <row r="953" spans="1:11" x14ac:dyDescent="0.3">
      <c r="A953" s="1">
        <v>46208</v>
      </c>
      <c r="B953" t="s">
        <v>60</v>
      </c>
      <c r="C953" t="s">
        <v>85</v>
      </c>
      <c r="D953" t="s">
        <v>61</v>
      </c>
      <c r="J953" s="8">
        <f>IF(Tableau3[[#This Row],[prospet]]=0,0,Tableau3[[#This Row],[Ventes]]/Tableau3[[#This Row],[prospet]])</f>
        <v>0</v>
      </c>
      <c r="K953">
        <v>4587211</v>
      </c>
    </row>
    <row r="954" spans="1:11" x14ac:dyDescent="0.3">
      <c r="A954" s="1">
        <v>46208</v>
      </c>
      <c r="B954" t="s">
        <v>62</v>
      </c>
      <c r="C954" t="s">
        <v>90</v>
      </c>
      <c r="D954" t="s">
        <v>62</v>
      </c>
      <c r="F954">
        <v>3</v>
      </c>
      <c r="H954">
        <f>9000+10000+9000</f>
        <v>28000</v>
      </c>
      <c r="J954" s="8">
        <f>IF(Tableau3[[#This Row],[prospet]]=0,0,Tableau3[[#This Row],[Ventes]]/Tableau3[[#This Row],[prospet]])</f>
        <v>0</v>
      </c>
      <c r="K954">
        <v>4221767</v>
      </c>
    </row>
    <row r="955" spans="1:11" x14ac:dyDescent="0.3">
      <c r="A955" s="1">
        <v>46208</v>
      </c>
      <c r="B955" t="s">
        <v>63</v>
      </c>
      <c r="C955" t="s">
        <v>91</v>
      </c>
      <c r="D955" t="s">
        <v>154</v>
      </c>
      <c r="J955" s="8">
        <f>IF(Tableau3[[#This Row],[prospet]]=0,0,Tableau3[[#This Row],[Ventes]]/Tableau3[[#This Row],[prospet]])</f>
        <v>0</v>
      </c>
      <c r="K955">
        <v>4463888</v>
      </c>
    </row>
    <row r="956" spans="1:11" x14ac:dyDescent="0.3">
      <c r="A956" s="1">
        <v>46208</v>
      </c>
      <c r="B956" t="s">
        <v>64</v>
      </c>
      <c r="D956" t="s">
        <v>64</v>
      </c>
      <c r="J956" s="8">
        <f>IF(Tableau3[[#This Row],[prospet]]=0,0,Tableau3[[#This Row],[Ventes]]/Tableau3[[#This Row],[prospet]])</f>
        <v>0</v>
      </c>
      <c r="K956">
        <v>4080782</v>
      </c>
    </row>
    <row r="957" spans="1:11" x14ac:dyDescent="0.3">
      <c r="A957" s="1">
        <v>46208</v>
      </c>
      <c r="B957" t="s">
        <v>81</v>
      </c>
      <c r="C957" t="s">
        <v>92</v>
      </c>
      <c r="D957" t="s">
        <v>81</v>
      </c>
      <c r="E957">
        <v>11</v>
      </c>
      <c r="G957" s="2">
        <v>0.86</v>
      </c>
      <c r="J957" s="8">
        <f>IF(Tableau3[[#This Row],[prospet]]=0,0,Tableau3[[#This Row],[Ventes]]/Tableau3[[#This Row],[prospet]])</f>
        <v>0</v>
      </c>
      <c r="K957">
        <v>4559847</v>
      </c>
    </row>
    <row r="958" spans="1:11" x14ac:dyDescent="0.3">
      <c r="A958" s="1">
        <v>46208</v>
      </c>
      <c r="B958" t="s">
        <v>82</v>
      </c>
      <c r="C958" t="s">
        <v>11</v>
      </c>
      <c r="D958" t="s">
        <v>82</v>
      </c>
      <c r="J958" s="8">
        <f>IF(Tableau3[[#This Row],[prospet]]=0,0,Tableau3[[#This Row],[Ventes]]/Tableau3[[#This Row],[prospet]])</f>
        <v>0</v>
      </c>
      <c r="K958">
        <v>4541035</v>
      </c>
    </row>
    <row r="959" spans="1:11" x14ac:dyDescent="0.3">
      <c r="A959" s="1">
        <v>46208</v>
      </c>
      <c r="B959" t="s">
        <v>97</v>
      </c>
      <c r="C959" t="s">
        <v>93</v>
      </c>
      <c r="D959" t="s">
        <v>97</v>
      </c>
      <c r="E959">
        <v>5</v>
      </c>
      <c r="G959" s="2">
        <v>0.52</v>
      </c>
      <c r="J959" s="8">
        <f>IF(Tableau3[[#This Row],[prospet]]=0,0,Tableau3[[#This Row],[Ventes]]/Tableau3[[#This Row],[prospet]])</f>
        <v>0</v>
      </c>
      <c r="K959">
        <v>4636761</v>
      </c>
    </row>
    <row r="960" spans="1:11" x14ac:dyDescent="0.3">
      <c r="A960" s="1">
        <v>46208</v>
      </c>
      <c r="B960" t="s">
        <v>80</v>
      </c>
      <c r="C960" t="s">
        <v>94</v>
      </c>
      <c r="D960" t="s">
        <v>155</v>
      </c>
      <c r="E960">
        <v>5</v>
      </c>
      <c r="F960">
        <v>1</v>
      </c>
      <c r="G960" s="2">
        <v>0.91</v>
      </c>
      <c r="I960">
        <v>2500</v>
      </c>
      <c r="J960" s="8">
        <f>IF(Tableau3[[#This Row],[prospet]]=0,0,Tableau3[[#This Row],[Ventes]]/Tableau3[[#This Row],[prospet]])</f>
        <v>0.2</v>
      </c>
      <c r="K960">
        <v>4636772</v>
      </c>
    </row>
    <row r="961" spans="1:11" x14ac:dyDescent="0.3">
      <c r="A961" s="1">
        <v>46208</v>
      </c>
      <c r="B961" t="s">
        <v>83</v>
      </c>
      <c r="C961" t="s">
        <v>95</v>
      </c>
      <c r="D961" t="s">
        <v>83</v>
      </c>
      <c r="J961" s="8">
        <f>IF(Tableau3[[#This Row],[prospet]]=0,0,Tableau3[[#This Row],[Ventes]]/Tableau3[[#This Row],[prospet]])</f>
        <v>0</v>
      </c>
      <c r="K961">
        <v>3947053</v>
      </c>
    </row>
    <row r="962" spans="1:11" x14ac:dyDescent="0.3">
      <c r="A962" s="1">
        <v>46208</v>
      </c>
      <c r="B962" t="s">
        <v>84</v>
      </c>
      <c r="C962" t="s">
        <v>96</v>
      </c>
      <c r="D962" t="s">
        <v>84</v>
      </c>
      <c r="E962">
        <v>8</v>
      </c>
      <c r="G962" s="2">
        <v>0.57999999999999996</v>
      </c>
      <c r="J962" s="8">
        <f>IF(Tableau3[[#This Row],[prospet]]=0,0,Tableau3[[#This Row],[Ventes]]/Tableau3[[#This Row],[prospet]])</f>
        <v>0</v>
      </c>
      <c r="K962">
        <v>4587817</v>
      </c>
    </row>
    <row r="963" spans="1:11" x14ac:dyDescent="0.3">
      <c r="A963" s="1">
        <v>46208</v>
      </c>
      <c r="B963" t="s">
        <v>98</v>
      </c>
      <c r="C963" t="s">
        <v>99</v>
      </c>
      <c r="D963" t="s">
        <v>98</v>
      </c>
      <c r="J963" s="8">
        <f>IF(Tableau3[[#This Row],[prospet]]=0,0,Tableau3[[#This Row],[Ventes]]/Tableau3[[#This Row],[prospet]])</f>
        <v>0</v>
      </c>
      <c r="K963">
        <v>3330821</v>
      </c>
    </row>
    <row r="964" spans="1:11" x14ac:dyDescent="0.3">
      <c r="A964" s="1">
        <v>46208</v>
      </c>
      <c r="B964" t="s">
        <v>109</v>
      </c>
      <c r="C964" t="s">
        <v>110</v>
      </c>
      <c r="D964" t="s">
        <v>109</v>
      </c>
      <c r="J964" s="8">
        <f>IF(Tableau3[[#This Row],[prospet]]=0,0,Tableau3[[#This Row],[Ventes]]/Tableau3[[#This Row],[prospet]])</f>
        <v>0</v>
      </c>
      <c r="K964">
        <v>4090831</v>
      </c>
    </row>
    <row r="965" spans="1:11" x14ac:dyDescent="0.3">
      <c r="A965" s="1">
        <v>46208</v>
      </c>
      <c r="B965" t="s">
        <v>111</v>
      </c>
      <c r="C965" t="s">
        <v>138</v>
      </c>
      <c r="D965" t="s">
        <v>115</v>
      </c>
      <c r="J965" s="8">
        <f>IF(Tableau3[[#This Row],[prospet]]=0,0,Tableau3[[#This Row],[Ventes]]/Tableau3[[#This Row],[prospet]])</f>
        <v>0</v>
      </c>
      <c r="K965">
        <v>4209873</v>
      </c>
    </row>
    <row r="966" spans="1:11" x14ac:dyDescent="0.3">
      <c r="A966" s="1">
        <v>46208</v>
      </c>
      <c r="B966" t="s">
        <v>112</v>
      </c>
      <c r="C966" t="s">
        <v>138</v>
      </c>
      <c r="D966" t="s">
        <v>113</v>
      </c>
      <c r="J966" s="8">
        <f>IF(Tableau3[[#This Row],[prospet]]=0,0,Tableau3[[#This Row],[Ventes]]/Tableau3[[#This Row],[prospet]])</f>
        <v>0</v>
      </c>
      <c r="K966">
        <v>4937885</v>
      </c>
    </row>
    <row r="967" spans="1:11" x14ac:dyDescent="0.3">
      <c r="A967" s="1">
        <v>46208</v>
      </c>
      <c r="B967" t="s">
        <v>152</v>
      </c>
      <c r="D967" t="s">
        <v>152</v>
      </c>
      <c r="J967" s="8">
        <f>IF(Tableau3[[#This Row],[prospet]]=0,0,Tableau3[[#This Row],[Ventes]]/Tableau3[[#This Row],[prospet]])</f>
        <v>0</v>
      </c>
      <c r="K967">
        <v>4476670</v>
      </c>
    </row>
    <row r="968" spans="1:11" x14ac:dyDescent="0.3">
      <c r="A968" s="1">
        <v>46209</v>
      </c>
      <c r="B968" t="s">
        <v>16</v>
      </c>
      <c r="C968" t="s">
        <v>85</v>
      </c>
      <c r="D968" t="s">
        <v>18</v>
      </c>
      <c r="E968">
        <v>51</v>
      </c>
      <c r="G968" s="2">
        <v>2.69</v>
      </c>
      <c r="J968" s="8">
        <f>IF(Tableau3[[#This Row],[prospet]]=0,0,Tableau3[[#This Row],[Ventes]]/Tableau3[[#This Row],[prospet]])</f>
        <v>0</v>
      </c>
      <c r="K968">
        <v>4316190</v>
      </c>
    </row>
    <row r="969" spans="1:11" x14ac:dyDescent="0.3">
      <c r="A969" s="1">
        <v>46209</v>
      </c>
      <c r="B969" t="s">
        <v>9</v>
      </c>
      <c r="C969" t="s">
        <v>86</v>
      </c>
      <c r="D969" t="s">
        <v>13</v>
      </c>
      <c r="E969">
        <v>26</v>
      </c>
      <c r="F969">
        <v>1</v>
      </c>
      <c r="G969" s="2">
        <v>2.2000000000000002</v>
      </c>
      <c r="I969">
        <v>1000</v>
      </c>
      <c r="J969" s="8">
        <f>IF(Tableau3[[#This Row],[prospet]]=0,0,Tableau3[[#This Row],[Ventes]]/Tableau3[[#This Row],[prospet]])</f>
        <v>3.8461538461538464E-2</v>
      </c>
      <c r="K969">
        <v>4554529</v>
      </c>
    </row>
    <row r="970" spans="1:11" x14ac:dyDescent="0.3">
      <c r="A970" s="1">
        <v>46209</v>
      </c>
      <c r="B970" t="s">
        <v>43</v>
      </c>
      <c r="C970" t="s">
        <v>11</v>
      </c>
      <c r="D970" t="s">
        <v>43</v>
      </c>
      <c r="E970">
        <v>35</v>
      </c>
      <c r="G970" s="2">
        <v>2.29</v>
      </c>
      <c r="J970" s="8">
        <f>IF(Tableau3[[#This Row],[prospet]]=0,0,Tableau3[[#This Row],[Ventes]]/Tableau3[[#This Row],[prospet]])</f>
        <v>0</v>
      </c>
      <c r="K970">
        <v>4348553</v>
      </c>
    </row>
    <row r="971" spans="1:11" x14ac:dyDescent="0.3">
      <c r="A971" s="1">
        <v>46209</v>
      </c>
      <c r="B971" t="s">
        <v>30</v>
      </c>
      <c r="C971" t="s">
        <v>88</v>
      </c>
      <c r="D971" t="s">
        <v>30</v>
      </c>
      <c r="E971">
        <v>32</v>
      </c>
      <c r="G971" s="2">
        <v>2.81</v>
      </c>
      <c r="J971" s="8">
        <f>IF(Tableau3[[#This Row],[prospet]]=0,0,Tableau3[[#This Row],[Ventes]]/Tableau3[[#This Row],[prospet]])</f>
        <v>0</v>
      </c>
      <c r="K971">
        <v>4586158</v>
      </c>
    </row>
    <row r="972" spans="1:11" x14ac:dyDescent="0.3">
      <c r="A972" s="1">
        <v>46209</v>
      </c>
      <c r="B972" t="s">
        <v>3</v>
      </c>
      <c r="C972" t="s">
        <v>89</v>
      </c>
      <c r="D972" t="s">
        <v>3</v>
      </c>
      <c r="J972" s="8">
        <f>IF(Tableau3[[#This Row],[prospet]]=0,0,Tableau3[[#This Row],[Ventes]]/Tableau3[[#This Row],[prospet]])</f>
        <v>0</v>
      </c>
      <c r="K972">
        <v>4561858</v>
      </c>
    </row>
    <row r="973" spans="1:11" x14ac:dyDescent="0.3">
      <c r="A973" s="1">
        <v>46209</v>
      </c>
      <c r="B973" t="s">
        <v>60</v>
      </c>
      <c r="C973" t="s">
        <v>85</v>
      </c>
      <c r="D973" t="s">
        <v>61</v>
      </c>
      <c r="J973" s="8">
        <f>IF(Tableau3[[#This Row],[prospet]]=0,0,Tableau3[[#This Row],[Ventes]]/Tableau3[[#This Row],[prospet]])</f>
        <v>0</v>
      </c>
      <c r="K973">
        <v>4587211</v>
      </c>
    </row>
    <row r="974" spans="1:11" x14ac:dyDescent="0.3">
      <c r="A974" s="1">
        <v>46209</v>
      </c>
      <c r="B974" t="s">
        <v>62</v>
      </c>
      <c r="C974" t="s">
        <v>90</v>
      </c>
      <c r="D974" t="s">
        <v>62</v>
      </c>
      <c r="F974">
        <v>8</v>
      </c>
      <c r="J974" s="8">
        <f>IF(Tableau3[[#This Row],[prospet]]=0,0,Tableau3[[#This Row],[Ventes]]/Tableau3[[#This Row],[prospet]])</f>
        <v>0</v>
      </c>
      <c r="K974">
        <v>4221767</v>
      </c>
    </row>
    <row r="975" spans="1:11" x14ac:dyDescent="0.3">
      <c r="A975" s="1">
        <v>46209</v>
      </c>
      <c r="B975" t="s">
        <v>63</v>
      </c>
      <c r="C975" t="s">
        <v>91</v>
      </c>
      <c r="D975" t="s">
        <v>154</v>
      </c>
      <c r="E975">
        <v>17</v>
      </c>
      <c r="G975" s="2">
        <v>1.51</v>
      </c>
      <c r="J975" s="8">
        <f>IF(Tableau3[[#This Row],[prospet]]=0,0,Tableau3[[#This Row],[Ventes]]/Tableau3[[#This Row],[prospet]])</f>
        <v>0</v>
      </c>
      <c r="K975">
        <v>4463888</v>
      </c>
    </row>
    <row r="976" spans="1:11" x14ac:dyDescent="0.3">
      <c r="A976" s="1">
        <v>46209</v>
      </c>
      <c r="B976" t="s">
        <v>64</v>
      </c>
      <c r="D976" t="s">
        <v>64</v>
      </c>
      <c r="J976" s="8">
        <f>IF(Tableau3[[#This Row],[prospet]]=0,0,Tableau3[[#This Row],[Ventes]]/Tableau3[[#This Row],[prospet]])</f>
        <v>0</v>
      </c>
      <c r="K976">
        <v>4080782</v>
      </c>
    </row>
    <row r="977" spans="1:11" x14ac:dyDescent="0.3">
      <c r="A977" s="1">
        <v>46209</v>
      </c>
      <c r="B977" t="s">
        <v>81</v>
      </c>
      <c r="C977" t="s">
        <v>92</v>
      </c>
      <c r="D977" t="s">
        <v>81</v>
      </c>
      <c r="E977">
        <v>41</v>
      </c>
      <c r="G977" s="2">
        <v>2.91</v>
      </c>
      <c r="J977" s="8">
        <f>IF(Tableau3[[#This Row],[prospet]]=0,0,Tableau3[[#This Row],[Ventes]]/Tableau3[[#This Row],[prospet]])</f>
        <v>0</v>
      </c>
      <c r="K977">
        <v>4559847</v>
      </c>
    </row>
    <row r="978" spans="1:11" x14ac:dyDescent="0.3">
      <c r="A978" s="1">
        <v>46209</v>
      </c>
      <c r="B978" t="s">
        <v>82</v>
      </c>
      <c r="C978" t="s">
        <v>11</v>
      </c>
      <c r="D978" t="s">
        <v>82</v>
      </c>
      <c r="J978" s="8">
        <f>IF(Tableau3[[#This Row],[prospet]]=0,0,Tableau3[[#This Row],[Ventes]]/Tableau3[[#This Row],[prospet]])</f>
        <v>0</v>
      </c>
      <c r="K978">
        <v>4541035</v>
      </c>
    </row>
    <row r="979" spans="1:11" x14ac:dyDescent="0.3">
      <c r="A979" s="1">
        <v>46209</v>
      </c>
      <c r="B979" t="s">
        <v>97</v>
      </c>
      <c r="C979" t="s">
        <v>93</v>
      </c>
      <c r="D979" t="s">
        <v>97</v>
      </c>
      <c r="E979">
        <v>28</v>
      </c>
      <c r="G979" s="2">
        <v>2.81</v>
      </c>
      <c r="J979" s="8">
        <f>IF(Tableau3[[#This Row],[prospet]]=0,0,Tableau3[[#This Row],[Ventes]]/Tableau3[[#This Row],[prospet]])</f>
        <v>0</v>
      </c>
      <c r="K979">
        <v>4636761</v>
      </c>
    </row>
    <row r="980" spans="1:11" x14ac:dyDescent="0.3">
      <c r="A980" s="1">
        <v>46209</v>
      </c>
      <c r="B980" t="s">
        <v>80</v>
      </c>
      <c r="C980" t="s">
        <v>94</v>
      </c>
      <c r="D980" t="s">
        <v>155</v>
      </c>
      <c r="E980">
        <v>27</v>
      </c>
      <c r="F980">
        <v>1</v>
      </c>
      <c r="G980" s="2">
        <v>3.02</v>
      </c>
      <c r="I980">
        <f>2500</f>
        <v>2500</v>
      </c>
      <c r="J980" s="8">
        <f>IF(Tableau3[[#This Row],[prospet]]=0,0,Tableau3[[#This Row],[Ventes]]/Tableau3[[#This Row],[prospet]])</f>
        <v>3.7037037037037035E-2</v>
      </c>
      <c r="K980">
        <v>4636772</v>
      </c>
    </row>
    <row r="981" spans="1:11" x14ac:dyDescent="0.3">
      <c r="A981" s="1">
        <v>46209</v>
      </c>
      <c r="B981" t="s">
        <v>83</v>
      </c>
      <c r="C981" t="s">
        <v>95</v>
      </c>
      <c r="D981" t="s">
        <v>83</v>
      </c>
      <c r="J981" s="8">
        <f>IF(Tableau3[[#This Row],[prospet]]=0,0,Tableau3[[#This Row],[Ventes]]/Tableau3[[#This Row],[prospet]])</f>
        <v>0</v>
      </c>
      <c r="K981">
        <v>3947053</v>
      </c>
    </row>
    <row r="982" spans="1:11" x14ac:dyDescent="0.3">
      <c r="A982" s="1">
        <v>46209</v>
      </c>
      <c r="B982" t="s">
        <v>84</v>
      </c>
      <c r="C982" t="s">
        <v>96</v>
      </c>
      <c r="D982" t="s">
        <v>84</v>
      </c>
      <c r="E982">
        <v>30</v>
      </c>
      <c r="G982" s="2">
        <v>2.66</v>
      </c>
      <c r="J982" s="8">
        <f>IF(Tableau3[[#This Row],[prospet]]=0,0,Tableau3[[#This Row],[Ventes]]/Tableau3[[#This Row],[prospet]])</f>
        <v>0</v>
      </c>
      <c r="K982">
        <v>4587817</v>
      </c>
    </row>
    <row r="983" spans="1:11" x14ac:dyDescent="0.3">
      <c r="A983" s="1">
        <v>46209</v>
      </c>
      <c r="B983" t="s">
        <v>98</v>
      </c>
      <c r="C983" t="s">
        <v>99</v>
      </c>
      <c r="D983" t="s">
        <v>98</v>
      </c>
      <c r="E983">
        <v>15</v>
      </c>
      <c r="F983">
        <v>1</v>
      </c>
      <c r="G983" s="2">
        <v>1.48</v>
      </c>
      <c r="I983">
        <v>2500</v>
      </c>
      <c r="J983" s="8">
        <f>IF(Tableau3[[#This Row],[prospet]]=0,0,Tableau3[[#This Row],[Ventes]]/Tableau3[[#This Row],[prospet]])</f>
        <v>6.6666666666666666E-2</v>
      </c>
      <c r="K983">
        <v>3330821</v>
      </c>
    </row>
    <row r="984" spans="1:11" x14ac:dyDescent="0.3">
      <c r="A984" s="1">
        <v>46209</v>
      </c>
      <c r="B984" t="s">
        <v>109</v>
      </c>
      <c r="C984" t="s">
        <v>110</v>
      </c>
      <c r="D984" t="s">
        <v>109</v>
      </c>
      <c r="J984" s="8">
        <f>IF(Tableau3[[#This Row],[prospet]]=0,0,Tableau3[[#This Row],[Ventes]]/Tableau3[[#This Row],[prospet]])</f>
        <v>0</v>
      </c>
      <c r="K984">
        <v>4090831</v>
      </c>
    </row>
    <row r="985" spans="1:11" x14ac:dyDescent="0.3">
      <c r="A985" s="1">
        <v>46209</v>
      </c>
      <c r="B985" t="s">
        <v>111</v>
      </c>
      <c r="C985" t="s">
        <v>138</v>
      </c>
      <c r="D985" t="s">
        <v>115</v>
      </c>
      <c r="J985" s="8">
        <f>IF(Tableau3[[#This Row],[prospet]]=0,0,Tableau3[[#This Row],[Ventes]]/Tableau3[[#This Row],[prospet]])</f>
        <v>0</v>
      </c>
      <c r="K985">
        <v>4209873</v>
      </c>
    </row>
    <row r="986" spans="1:11" x14ac:dyDescent="0.3">
      <c r="A986" s="1">
        <v>46209</v>
      </c>
      <c r="B986" t="s">
        <v>112</v>
      </c>
      <c r="C986" t="s">
        <v>138</v>
      </c>
      <c r="D986" t="s">
        <v>113</v>
      </c>
      <c r="J986" s="8">
        <f>IF(Tableau3[[#This Row],[prospet]]=0,0,Tableau3[[#This Row],[Ventes]]/Tableau3[[#This Row],[prospet]])</f>
        <v>0</v>
      </c>
      <c r="K986">
        <v>4937885</v>
      </c>
    </row>
    <row r="987" spans="1:11" x14ac:dyDescent="0.3">
      <c r="A987" s="1">
        <v>46209</v>
      </c>
      <c r="B987" t="s">
        <v>152</v>
      </c>
      <c r="D987" t="s">
        <v>152</v>
      </c>
      <c r="J987" s="8">
        <f>IF(Tableau3[[#This Row],[prospet]]=0,0,Tableau3[[#This Row],[Ventes]]/Tableau3[[#This Row],[prospet]])</f>
        <v>0</v>
      </c>
      <c r="K987">
        <v>4476670</v>
      </c>
    </row>
    <row r="988" spans="1:11" x14ac:dyDescent="0.3">
      <c r="A988" s="1">
        <v>46210</v>
      </c>
      <c r="B988" t="s">
        <v>16</v>
      </c>
      <c r="C988" t="s">
        <v>85</v>
      </c>
      <c r="D988" t="s">
        <v>18</v>
      </c>
      <c r="E988">
        <v>45</v>
      </c>
      <c r="G988" s="2">
        <v>2.5499999999999998</v>
      </c>
      <c r="I988">
        <f>1500+1500</f>
        <v>3000</v>
      </c>
      <c r="J988" s="8">
        <f>IF(Tableau3[[#This Row],[prospet]]=0,0,Tableau3[[#This Row],[Ventes]]/Tableau3[[#This Row],[prospet]])</f>
        <v>0</v>
      </c>
      <c r="K988">
        <v>4316190</v>
      </c>
    </row>
    <row r="989" spans="1:11" x14ac:dyDescent="0.3">
      <c r="A989" s="1">
        <v>46210</v>
      </c>
      <c r="B989" t="s">
        <v>9</v>
      </c>
      <c r="C989" t="s">
        <v>86</v>
      </c>
      <c r="D989" t="s">
        <v>13</v>
      </c>
      <c r="E989">
        <v>23</v>
      </c>
      <c r="F989">
        <v>3</v>
      </c>
      <c r="G989" s="2">
        <v>2.23</v>
      </c>
      <c r="I989">
        <f>2500+1000+1500</f>
        <v>5000</v>
      </c>
      <c r="J989" s="8">
        <f>IF(Tableau3[[#This Row],[prospet]]=0,0,Tableau3[[#This Row],[Ventes]]/Tableau3[[#This Row],[prospet]])</f>
        <v>0.13043478260869565</v>
      </c>
      <c r="K989">
        <v>4554529</v>
      </c>
    </row>
    <row r="990" spans="1:11" x14ac:dyDescent="0.3">
      <c r="A990" s="1">
        <v>46210</v>
      </c>
      <c r="B990" t="s">
        <v>43</v>
      </c>
      <c r="C990" t="s">
        <v>11</v>
      </c>
      <c r="D990" t="s">
        <v>43</v>
      </c>
      <c r="E990">
        <v>22</v>
      </c>
      <c r="F990">
        <v>2</v>
      </c>
      <c r="G990" s="2">
        <v>2.0699999999999998</v>
      </c>
      <c r="I990">
        <f>1500+2500</f>
        <v>4000</v>
      </c>
      <c r="J990" s="8">
        <f>IF(Tableau3[[#This Row],[prospet]]=0,0,Tableau3[[#This Row],[Ventes]]/Tableau3[[#This Row],[prospet]])</f>
        <v>9.0909090909090912E-2</v>
      </c>
      <c r="K990">
        <v>4348553</v>
      </c>
    </row>
    <row r="991" spans="1:11" x14ac:dyDescent="0.3">
      <c r="A991" s="1">
        <v>46210</v>
      </c>
      <c r="B991" t="s">
        <v>30</v>
      </c>
      <c r="C991" t="s">
        <v>88</v>
      </c>
      <c r="D991" t="s">
        <v>30</v>
      </c>
      <c r="E991">
        <v>31</v>
      </c>
      <c r="G991" s="2">
        <v>2.33</v>
      </c>
      <c r="J991" s="8">
        <f>IF(Tableau3[[#This Row],[prospet]]=0,0,Tableau3[[#This Row],[Ventes]]/Tableau3[[#This Row],[prospet]])</f>
        <v>0</v>
      </c>
      <c r="K991">
        <v>4586158</v>
      </c>
    </row>
    <row r="992" spans="1:11" x14ac:dyDescent="0.3">
      <c r="A992" s="1">
        <v>46210</v>
      </c>
      <c r="B992" t="s">
        <v>3</v>
      </c>
      <c r="C992" t="s">
        <v>89</v>
      </c>
      <c r="D992" t="s">
        <v>3</v>
      </c>
      <c r="J992" s="8">
        <f>IF(Tableau3[[#This Row],[prospet]]=0,0,Tableau3[[#This Row],[Ventes]]/Tableau3[[#This Row],[prospet]])</f>
        <v>0</v>
      </c>
      <c r="K992">
        <v>4561858</v>
      </c>
    </row>
    <row r="993" spans="1:11" x14ac:dyDescent="0.3">
      <c r="A993" s="1">
        <v>46210</v>
      </c>
      <c r="B993" t="s">
        <v>60</v>
      </c>
      <c r="C993" t="s">
        <v>85</v>
      </c>
      <c r="D993" t="s">
        <v>61</v>
      </c>
      <c r="J993" s="8">
        <f>IF(Tableau3[[#This Row],[prospet]]=0,0,Tableau3[[#This Row],[Ventes]]/Tableau3[[#This Row],[prospet]])</f>
        <v>0</v>
      </c>
      <c r="K993">
        <v>4587211</v>
      </c>
    </row>
    <row r="994" spans="1:11" x14ac:dyDescent="0.3">
      <c r="A994" s="1">
        <v>46210</v>
      </c>
      <c r="B994" t="s">
        <v>62</v>
      </c>
      <c r="C994" t="s">
        <v>90</v>
      </c>
      <c r="D994" t="s">
        <v>62</v>
      </c>
      <c r="J994" s="8">
        <f>IF(Tableau3[[#This Row],[prospet]]=0,0,Tableau3[[#This Row],[Ventes]]/Tableau3[[#This Row],[prospet]])</f>
        <v>0</v>
      </c>
      <c r="K994">
        <v>4221767</v>
      </c>
    </row>
    <row r="995" spans="1:11" x14ac:dyDescent="0.3">
      <c r="A995" s="1">
        <v>46210</v>
      </c>
      <c r="B995" t="s">
        <v>63</v>
      </c>
      <c r="C995" t="s">
        <v>91</v>
      </c>
      <c r="D995" t="s">
        <v>154</v>
      </c>
      <c r="E995">
        <v>32</v>
      </c>
      <c r="F995">
        <v>1</v>
      </c>
      <c r="G995" s="2">
        <v>2.2400000000000002</v>
      </c>
      <c r="I995">
        <f>1500</f>
        <v>1500</v>
      </c>
      <c r="J995" s="8">
        <f>IF(Tableau3[[#This Row],[prospet]]=0,0,Tableau3[[#This Row],[Ventes]]/Tableau3[[#This Row],[prospet]])</f>
        <v>3.125E-2</v>
      </c>
      <c r="K995">
        <v>4463888</v>
      </c>
    </row>
    <row r="996" spans="1:11" x14ac:dyDescent="0.3">
      <c r="A996" s="1">
        <v>46210</v>
      </c>
      <c r="B996" t="s">
        <v>64</v>
      </c>
      <c r="D996" t="s">
        <v>64</v>
      </c>
      <c r="J996" s="8">
        <f>IF(Tableau3[[#This Row],[prospet]]=0,0,Tableau3[[#This Row],[Ventes]]/Tableau3[[#This Row],[prospet]])</f>
        <v>0</v>
      </c>
      <c r="K996">
        <v>4080782</v>
      </c>
    </row>
    <row r="997" spans="1:11" x14ac:dyDescent="0.3">
      <c r="A997" s="1">
        <v>46210</v>
      </c>
      <c r="B997" t="s">
        <v>81</v>
      </c>
      <c r="C997" t="s">
        <v>92</v>
      </c>
      <c r="D997" t="s">
        <v>81</v>
      </c>
      <c r="E997">
        <v>41</v>
      </c>
      <c r="G997" s="2">
        <v>2.31</v>
      </c>
      <c r="J997" s="8">
        <f>IF(Tableau3[[#This Row],[prospet]]=0,0,Tableau3[[#This Row],[Ventes]]/Tableau3[[#This Row],[prospet]])</f>
        <v>0</v>
      </c>
      <c r="K997">
        <v>4559847</v>
      </c>
    </row>
    <row r="998" spans="1:11" x14ac:dyDescent="0.3">
      <c r="A998" s="1">
        <v>46210</v>
      </c>
      <c r="B998" t="s">
        <v>82</v>
      </c>
      <c r="C998" t="s">
        <v>11</v>
      </c>
      <c r="D998" t="s">
        <v>82</v>
      </c>
      <c r="J998" s="8">
        <f>IF(Tableau3[[#This Row],[prospet]]=0,0,Tableau3[[#This Row],[Ventes]]/Tableau3[[#This Row],[prospet]])</f>
        <v>0</v>
      </c>
      <c r="K998">
        <v>4541035</v>
      </c>
    </row>
    <row r="999" spans="1:11" x14ac:dyDescent="0.3">
      <c r="A999" s="1">
        <v>46210</v>
      </c>
      <c r="B999" t="s">
        <v>97</v>
      </c>
      <c r="C999" t="s">
        <v>93</v>
      </c>
      <c r="D999" t="s">
        <v>97</v>
      </c>
      <c r="E999">
        <v>26</v>
      </c>
      <c r="G999" s="2">
        <v>2.13</v>
      </c>
      <c r="J999" s="8">
        <f>IF(Tableau3[[#This Row],[prospet]]=0,0,Tableau3[[#This Row],[Ventes]]/Tableau3[[#This Row],[prospet]])</f>
        <v>0</v>
      </c>
      <c r="K999">
        <v>4636761</v>
      </c>
    </row>
    <row r="1000" spans="1:11" x14ac:dyDescent="0.3">
      <c r="A1000" s="1">
        <v>46210</v>
      </c>
      <c r="B1000" t="s">
        <v>80</v>
      </c>
      <c r="C1000" t="s">
        <v>94</v>
      </c>
      <c r="D1000" t="s">
        <v>155</v>
      </c>
      <c r="E1000">
        <v>21</v>
      </c>
      <c r="G1000" s="2">
        <v>2.4700000000000002</v>
      </c>
      <c r="I1000">
        <f>2500+1000+1500</f>
        <v>5000</v>
      </c>
      <c r="J1000" s="8">
        <f>IF(Tableau3[[#This Row],[prospet]]=0,0,Tableau3[[#This Row],[Ventes]]/Tableau3[[#This Row],[prospet]])</f>
        <v>0</v>
      </c>
      <c r="K1000">
        <v>4636772</v>
      </c>
    </row>
    <row r="1001" spans="1:11" x14ac:dyDescent="0.3">
      <c r="A1001" s="1">
        <v>46210</v>
      </c>
      <c r="B1001" t="s">
        <v>83</v>
      </c>
      <c r="C1001" t="s">
        <v>95</v>
      </c>
      <c r="D1001" t="s">
        <v>83</v>
      </c>
      <c r="J1001" s="8">
        <f>IF(Tableau3[[#This Row],[prospet]]=0,0,Tableau3[[#This Row],[Ventes]]/Tableau3[[#This Row],[prospet]])</f>
        <v>0</v>
      </c>
      <c r="K1001">
        <v>3947053</v>
      </c>
    </row>
    <row r="1002" spans="1:11" x14ac:dyDescent="0.3">
      <c r="A1002" s="1">
        <v>46210</v>
      </c>
      <c r="B1002" t="s">
        <v>84</v>
      </c>
      <c r="C1002" t="s">
        <v>96</v>
      </c>
      <c r="D1002" t="s">
        <v>84</v>
      </c>
      <c r="E1002">
        <v>28</v>
      </c>
      <c r="G1002" s="2">
        <v>2.33</v>
      </c>
      <c r="J1002" s="8">
        <f>IF(Tableau3[[#This Row],[prospet]]=0,0,Tableau3[[#This Row],[Ventes]]/Tableau3[[#This Row],[prospet]])</f>
        <v>0</v>
      </c>
      <c r="K1002">
        <v>4587817</v>
      </c>
    </row>
    <row r="1003" spans="1:11" x14ac:dyDescent="0.3">
      <c r="A1003" s="1">
        <v>46210</v>
      </c>
      <c r="B1003" t="s">
        <v>98</v>
      </c>
      <c r="C1003" t="s">
        <v>99</v>
      </c>
      <c r="D1003" t="s">
        <v>98</v>
      </c>
      <c r="E1003">
        <v>27</v>
      </c>
      <c r="F1003">
        <v>2</v>
      </c>
      <c r="G1003" s="2">
        <v>2.06</v>
      </c>
      <c r="I1003">
        <f>1500+1500</f>
        <v>3000</v>
      </c>
      <c r="J1003" s="8">
        <f>IF(Tableau3[[#This Row],[prospet]]=0,0,Tableau3[[#This Row],[Ventes]]/Tableau3[[#This Row],[prospet]])</f>
        <v>7.407407407407407E-2</v>
      </c>
      <c r="K1003">
        <v>3330821</v>
      </c>
    </row>
    <row r="1004" spans="1:11" x14ac:dyDescent="0.3">
      <c r="A1004" s="1">
        <v>46210</v>
      </c>
      <c r="B1004" t="s">
        <v>109</v>
      </c>
      <c r="C1004" t="s">
        <v>110</v>
      </c>
      <c r="D1004" t="s">
        <v>109</v>
      </c>
      <c r="J1004" s="8">
        <f>IF(Tableau3[[#This Row],[prospet]]=0,0,Tableau3[[#This Row],[Ventes]]/Tableau3[[#This Row],[prospet]])</f>
        <v>0</v>
      </c>
      <c r="K1004">
        <v>4090831</v>
      </c>
    </row>
    <row r="1005" spans="1:11" x14ac:dyDescent="0.3">
      <c r="A1005" s="1">
        <v>46210</v>
      </c>
      <c r="B1005" t="s">
        <v>111</v>
      </c>
      <c r="C1005" t="s">
        <v>138</v>
      </c>
      <c r="D1005" t="s">
        <v>115</v>
      </c>
      <c r="J1005" s="8">
        <f>IF(Tableau3[[#This Row],[prospet]]=0,0,Tableau3[[#This Row],[Ventes]]/Tableau3[[#This Row],[prospet]])</f>
        <v>0</v>
      </c>
      <c r="K1005">
        <v>4209873</v>
      </c>
    </row>
    <row r="1006" spans="1:11" x14ac:dyDescent="0.3">
      <c r="A1006" s="1">
        <v>46210</v>
      </c>
      <c r="B1006" t="s">
        <v>112</v>
      </c>
      <c r="C1006" t="s">
        <v>138</v>
      </c>
      <c r="D1006" t="s">
        <v>113</v>
      </c>
      <c r="J1006" s="8">
        <f>IF(Tableau3[[#This Row],[prospet]]=0,0,Tableau3[[#This Row],[Ventes]]/Tableau3[[#This Row],[prospet]])</f>
        <v>0</v>
      </c>
      <c r="K1006">
        <v>4937885</v>
      </c>
    </row>
    <row r="1007" spans="1:11" x14ac:dyDescent="0.3">
      <c r="A1007" s="1">
        <v>46210</v>
      </c>
      <c r="B1007" t="s">
        <v>152</v>
      </c>
      <c r="D1007" t="s">
        <v>152</v>
      </c>
      <c r="J1007" s="8">
        <f>IF(Tableau3[[#This Row],[prospet]]=0,0,Tableau3[[#This Row],[Ventes]]/Tableau3[[#This Row],[prospet]])</f>
        <v>0</v>
      </c>
      <c r="K1007">
        <v>4476670</v>
      </c>
    </row>
    <row r="1008" spans="1:11" x14ac:dyDescent="0.3">
      <c r="A1008" s="1">
        <v>46211</v>
      </c>
      <c r="B1008" t="s">
        <v>16</v>
      </c>
      <c r="C1008" t="s">
        <v>85</v>
      </c>
      <c r="D1008" t="s">
        <v>18</v>
      </c>
      <c r="E1008">
        <v>4</v>
      </c>
      <c r="F1008">
        <v>1</v>
      </c>
      <c r="G1008" s="2">
        <v>0.46</v>
      </c>
      <c r="J1008" s="8">
        <f>IF(Tableau3[[#This Row],[prospet]]=0,0,Tableau3[[#This Row],[Ventes]]/Tableau3[[#This Row],[prospet]])</f>
        <v>0.25</v>
      </c>
      <c r="K1008">
        <v>4316190</v>
      </c>
    </row>
    <row r="1009" spans="1:11" x14ac:dyDescent="0.3">
      <c r="A1009" s="1">
        <v>46211</v>
      </c>
      <c r="B1009" t="s">
        <v>9</v>
      </c>
      <c r="C1009" t="s">
        <v>86</v>
      </c>
      <c r="D1009" t="s">
        <v>13</v>
      </c>
      <c r="E1009">
        <v>29</v>
      </c>
      <c r="F1009">
        <v>2</v>
      </c>
      <c r="G1009" s="2">
        <v>2.96</v>
      </c>
      <c r="I1009">
        <f>1000+2500</f>
        <v>3500</v>
      </c>
      <c r="J1009" s="8">
        <f>IF(Tableau3[[#This Row],[prospet]]=0,0,Tableau3[[#This Row],[Ventes]]/Tableau3[[#This Row],[prospet]])</f>
        <v>6.8965517241379309E-2</v>
      </c>
      <c r="K1009">
        <v>4554529</v>
      </c>
    </row>
    <row r="1010" spans="1:11" x14ac:dyDescent="0.3">
      <c r="A1010" s="1">
        <v>46211</v>
      </c>
      <c r="B1010" t="s">
        <v>43</v>
      </c>
      <c r="C1010" t="s">
        <v>11</v>
      </c>
      <c r="D1010" t="s">
        <v>43</v>
      </c>
      <c r="E1010">
        <v>35</v>
      </c>
      <c r="F1010">
        <v>3</v>
      </c>
      <c r="G1010" s="2">
        <v>2.5</v>
      </c>
      <c r="I1010">
        <f>1500+2500+1500</f>
        <v>5500</v>
      </c>
      <c r="J1010" s="8">
        <f>IF(Tableau3[[#This Row],[prospet]]=0,0,Tableau3[[#This Row],[Ventes]]/Tableau3[[#This Row],[prospet]])</f>
        <v>8.5714285714285715E-2</v>
      </c>
      <c r="K1010">
        <v>4348553</v>
      </c>
    </row>
    <row r="1011" spans="1:11" x14ac:dyDescent="0.3">
      <c r="A1011" s="1">
        <v>46211</v>
      </c>
      <c r="B1011" t="s">
        <v>30</v>
      </c>
      <c r="C1011" t="s">
        <v>88</v>
      </c>
      <c r="D1011" t="s">
        <v>30</v>
      </c>
      <c r="E1011">
        <v>1</v>
      </c>
      <c r="G1011" s="2">
        <v>0.38</v>
      </c>
      <c r="J1011" s="8">
        <f>IF(Tableau3[[#This Row],[prospet]]=0,0,Tableau3[[#This Row],[Ventes]]/Tableau3[[#This Row],[prospet]])</f>
        <v>0</v>
      </c>
      <c r="K1011">
        <v>4586158</v>
      </c>
    </row>
    <row r="1012" spans="1:11" x14ac:dyDescent="0.3">
      <c r="A1012" s="1">
        <v>46211</v>
      </c>
      <c r="B1012" t="s">
        <v>3</v>
      </c>
      <c r="C1012" t="s">
        <v>89</v>
      </c>
      <c r="D1012" t="s">
        <v>3</v>
      </c>
      <c r="J1012" s="8">
        <f>IF(Tableau3[[#This Row],[prospet]]=0,0,Tableau3[[#This Row],[Ventes]]/Tableau3[[#This Row],[prospet]])</f>
        <v>0</v>
      </c>
      <c r="K1012">
        <v>4561858</v>
      </c>
    </row>
    <row r="1013" spans="1:11" x14ac:dyDescent="0.3">
      <c r="A1013" s="1">
        <v>46211</v>
      </c>
      <c r="B1013" t="s">
        <v>60</v>
      </c>
      <c r="C1013" t="s">
        <v>85</v>
      </c>
      <c r="D1013" t="s">
        <v>61</v>
      </c>
      <c r="J1013" s="8">
        <f>IF(Tableau3[[#This Row],[prospet]]=0,0,Tableau3[[#This Row],[Ventes]]/Tableau3[[#This Row],[prospet]])</f>
        <v>0</v>
      </c>
      <c r="K1013">
        <v>4587211</v>
      </c>
    </row>
    <row r="1014" spans="1:11" x14ac:dyDescent="0.3">
      <c r="A1014" s="1">
        <v>46211</v>
      </c>
      <c r="B1014" t="s">
        <v>62</v>
      </c>
      <c r="C1014" t="s">
        <v>90</v>
      </c>
      <c r="D1014" t="s">
        <v>62</v>
      </c>
      <c r="J1014" s="8">
        <f>IF(Tableau3[[#This Row],[prospet]]=0,0,Tableau3[[#This Row],[Ventes]]/Tableau3[[#This Row],[prospet]])</f>
        <v>0</v>
      </c>
      <c r="K1014">
        <v>4221767</v>
      </c>
    </row>
    <row r="1015" spans="1:11" x14ac:dyDescent="0.3">
      <c r="A1015" s="1">
        <v>46211</v>
      </c>
      <c r="B1015" t="s">
        <v>63</v>
      </c>
      <c r="C1015" t="s">
        <v>91</v>
      </c>
      <c r="D1015" t="s">
        <v>154</v>
      </c>
      <c r="E1015">
        <v>7</v>
      </c>
      <c r="G1015" s="2">
        <v>0.43</v>
      </c>
      <c r="J1015" s="8">
        <f>IF(Tableau3[[#This Row],[prospet]]=0,0,Tableau3[[#This Row],[Ventes]]/Tableau3[[#This Row],[prospet]])</f>
        <v>0</v>
      </c>
      <c r="K1015">
        <v>4463888</v>
      </c>
    </row>
    <row r="1016" spans="1:11" x14ac:dyDescent="0.3">
      <c r="A1016" s="1">
        <v>46211</v>
      </c>
      <c r="B1016" t="s">
        <v>64</v>
      </c>
      <c r="D1016" t="s">
        <v>64</v>
      </c>
      <c r="J1016" s="8">
        <f>IF(Tableau3[[#This Row],[prospet]]=0,0,Tableau3[[#This Row],[Ventes]]/Tableau3[[#This Row],[prospet]])</f>
        <v>0</v>
      </c>
      <c r="K1016">
        <v>4080782</v>
      </c>
    </row>
    <row r="1017" spans="1:11" x14ac:dyDescent="0.3">
      <c r="A1017" s="1">
        <v>46211</v>
      </c>
      <c r="B1017" t="s">
        <v>81</v>
      </c>
      <c r="C1017" t="s">
        <v>92</v>
      </c>
      <c r="D1017" t="s">
        <v>81</v>
      </c>
      <c r="E1017">
        <v>7</v>
      </c>
      <c r="G1017" s="2">
        <v>0.41</v>
      </c>
      <c r="J1017" s="8">
        <f>IF(Tableau3[[#This Row],[prospet]]=0,0,Tableau3[[#This Row],[Ventes]]/Tableau3[[#This Row],[prospet]])</f>
        <v>0</v>
      </c>
      <c r="K1017">
        <v>4559847</v>
      </c>
    </row>
    <row r="1018" spans="1:11" x14ac:dyDescent="0.3">
      <c r="A1018" s="1">
        <v>46211</v>
      </c>
      <c r="B1018" t="s">
        <v>82</v>
      </c>
      <c r="C1018" t="s">
        <v>11</v>
      </c>
      <c r="D1018" t="s">
        <v>82</v>
      </c>
      <c r="J1018" s="8">
        <f>IF(Tableau3[[#This Row],[prospet]]=0,0,Tableau3[[#This Row],[Ventes]]/Tableau3[[#This Row],[prospet]])</f>
        <v>0</v>
      </c>
      <c r="K1018">
        <v>4541035</v>
      </c>
    </row>
    <row r="1019" spans="1:11" x14ac:dyDescent="0.3">
      <c r="A1019" s="1">
        <v>46211</v>
      </c>
      <c r="B1019" t="s">
        <v>97</v>
      </c>
      <c r="C1019" t="s">
        <v>93</v>
      </c>
      <c r="D1019" t="s">
        <v>97</v>
      </c>
      <c r="E1019">
        <v>11</v>
      </c>
      <c r="G1019" s="2">
        <v>2.37</v>
      </c>
      <c r="J1019" s="8">
        <f>IF(Tableau3[[#This Row],[prospet]]=0,0,Tableau3[[#This Row],[Ventes]]/Tableau3[[#This Row],[prospet]])</f>
        <v>0</v>
      </c>
      <c r="K1019">
        <v>4636761</v>
      </c>
    </row>
    <row r="1020" spans="1:11" x14ac:dyDescent="0.3">
      <c r="A1020" s="1">
        <v>46211</v>
      </c>
      <c r="B1020" t="s">
        <v>80</v>
      </c>
      <c r="C1020" t="s">
        <v>94</v>
      </c>
      <c r="D1020" t="s">
        <v>155</v>
      </c>
      <c r="E1020">
        <v>25</v>
      </c>
      <c r="F1020">
        <v>6</v>
      </c>
      <c r="G1020" s="2">
        <v>2.33</v>
      </c>
      <c r="I1020">
        <f>1500+1500+2000+2500+2500+1000</f>
        <v>11000</v>
      </c>
      <c r="J1020" s="8">
        <f>IF(Tableau3[[#This Row],[prospet]]=0,0,Tableau3[[#This Row],[Ventes]]/Tableau3[[#This Row],[prospet]])</f>
        <v>0.24</v>
      </c>
      <c r="K1020">
        <v>4636772</v>
      </c>
    </row>
    <row r="1021" spans="1:11" x14ac:dyDescent="0.3">
      <c r="A1021" s="1">
        <v>46211</v>
      </c>
      <c r="B1021" t="s">
        <v>83</v>
      </c>
      <c r="C1021" t="s">
        <v>95</v>
      </c>
      <c r="D1021" t="s">
        <v>83</v>
      </c>
      <c r="J1021" s="8">
        <f>IF(Tableau3[[#This Row],[prospet]]=0,0,Tableau3[[#This Row],[Ventes]]/Tableau3[[#This Row],[prospet]])</f>
        <v>0</v>
      </c>
      <c r="K1021">
        <v>3947053</v>
      </c>
    </row>
    <row r="1022" spans="1:11" x14ac:dyDescent="0.3">
      <c r="A1022" s="1">
        <v>46211</v>
      </c>
      <c r="B1022" t="s">
        <v>84</v>
      </c>
      <c r="C1022" t="s">
        <v>96</v>
      </c>
      <c r="D1022" t="s">
        <v>84</v>
      </c>
      <c r="E1022">
        <v>3</v>
      </c>
      <c r="G1022" s="2">
        <v>0.37</v>
      </c>
      <c r="J1022" s="8">
        <f>IF(Tableau3[[#This Row],[prospet]]=0,0,Tableau3[[#This Row],[Ventes]]/Tableau3[[#This Row],[prospet]])</f>
        <v>0</v>
      </c>
      <c r="K1022">
        <v>4587817</v>
      </c>
    </row>
    <row r="1023" spans="1:11" x14ac:dyDescent="0.3">
      <c r="A1023" s="1">
        <v>46211</v>
      </c>
      <c r="B1023" t="s">
        <v>98</v>
      </c>
      <c r="C1023" t="s">
        <v>99</v>
      </c>
      <c r="D1023" t="s">
        <v>98</v>
      </c>
      <c r="E1023">
        <v>39</v>
      </c>
      <c r="F1023">
        <v>1</v>
      </c>
      <c r="G1023" s="2">
        <v>1.25</v>
      </c>
      <c r="I1023">
        <v>1500</v>
      </c>
      <c r="J1023" s="8">
        <f>IF(Tableau3[[#This Row],[prospet]]=0,0,Tableau3[[#This Row],[Ventes]]/Tableau3[[#This Row],[prospet]])</f>
        <v>2.564102564102564E-2</v>
      </c>
      <c r="K1023">
        <v>3330821</v>
      </c>
    </row>
    <row r="1024" spans="1:11" x14ac:dyDescent="0.3">
      <c r="A1024" s="1">
        <v>46211</v>
      </c>
      <c r="B1024" t="s">
        <v>109</v>
      </c>
      <c r="C1024" t="s">
        <v>110</v>
      </c>
      <c r="D1024" t="s">
        <v>109</v>
      </c>
      <c r="J1024" s="8">
        <f>IF(Tableau3[[#This Row],[prospet]]=0,0,Tableau3[[#This Row],[Ventes]]/Tableau3[[#This Row],[prospet]])</f>
        <v>0</v>
      </c>
      <c r="K1024">
        <v>4090831</v>
      </c>
    </row>
    <row r="1025" spans="1:11" x14ac:dyDescent="0.3">
      <c r="A1025" s="1">
        <v>46211</v>
      </c>
      <c r="B1025" t="s">
        <v>111</v>
      </c>
      <c r="C1025" t="s">
        <v>138</v>
      </c>
      <c r="D1025" t="s">
        <v>115</v>
      </c>
      <c r="J1025" s="8">
        <f>IF(Tableau3[[#This Row],[prospet]]=0,0,Tableau3[[#This Row],[Ventes]]/Tableau3[[#This Row],[prospet]])</f>
        <v>0</v>
      </c>
      <c r="K1025">
        <v>4209873</v>
      </c>
    </row>
    <row r="1026" spans="1:11" x14ac:dyDescent="0.3">
      <c r="A1026" s="1">
        <v>46211</v>
      </c>
      <c r="B1026" t="s">
        <v>112</v>
      </c>
      <c r="C1026" t="s">
        <v>138</v>
      </c>
      <c r="D1026" t="s">
        <v>113</v>
      </c>
      <c r="J1026" s="8">
        <f>IF(Tableau3[[#This Row],[prospet]]=0,0,Tableau3[[#This Row],[Ventes]]/Tableau3[[#This Row],[prospet]])</f>
        <v>0</v>
      </c>
      <c r="K1026">
        <v>4937885</v>
      </c>
    </row>
    <row r="1027" spans="1:11" x14ac:dyDescent="0.3">
      <c r="A1027" s="1">
        <v>46211</v>
      </c>
      <c r="B1027" t="s">
        <v>152</v>
      </c>
      <c r="D1027" t="s">
        <v>152</v>
      </c>
      <c r="J1027" s="8">
        <f>IF(Tableau3[[#This Row],[prospet]]=0,0,Tableau3[[#This Row],[Ventes]]/Tableau3[[#This Row],[prospet]])</f>
        <v>0</v>
      </c>
      <c r="K1027">
        <v>4476670</v>
      </c>
    </row>
    <row r="1028" spans="1:11" x14ac:dyDescent="0.3">
      <c r="A1028" s="1">
        <v>46212</v>
      </c>
      <c r="B1028" t="s">
        <v>16</v>
      </c>
      <c r="C1028" t="s">
        <v>85</v>
      </c>
      <c r="D1028" t="s">
        <v>18</v>
      </c>
      <c r="E1028">
        <v>23</v>
      </c>
      <c r="F1028">
        <v>2</v>
      </c>
      <c r="G1028" s="2">
        <v>2.5299999999999998</v>
      </c>
      <c r="I1028">
        <f>1000+1500</f>
        <v>2500</v>
      </c>
      <c r="J1028" s="8">
        <f>IF(Tableau3[[#This Row],[prospet]]=0,0,Tableau3[[#This Row],[Ventes]]/Tableau3[[#This Row],[prospet]])</f>
        <v>8.6956521739130432E-2</v>
      </c>
      <c r="K1028">
        <v>4316190</v>
      </c>
    </row>
    <row r="1029" spans="1:11" x14ac:dyDescent="0.3">
      <c r="A1029" s="1">
        <v>46212</v>
      </c>
      <c r="B1029" t="s">
        <v>9</v>
      </c>
      <c r="C1029" t="s">
        <v>86</v>
      </c>
      <c r="D1029" t="s">
        <v>13</v>
      </c>
      <c r="E1029">
        <v>20</v>
      </c>
      <c r="F1029">
        <v>1</v>
      </c>
      <c r="G1029" s="2">
        <v>1.79</v>
      </c>
      <c r="I1029">
        <v>1500</v>
      </c>
      <c r="J1029" s="8">
        <f>IF(Tableau3[[#This Row],[prospet]]=0,0,Tableau3[[#This Row],[Ventes]]/Tableau3[[#This Row],[prospet]])</f>
        <v>0.05</v>
      </c>
      <c r="K1029">
        <v>4554529</v>
      </c>
    </row>
    <row r="1030" spans="1:11" x14ac:dyDescent="0.3">
      <c r="A1030" s="1">
        <v>46212</v>
      </c>
      <c r="B1030" t="s">
        <v>43</v>
      </c>
      <c r="C1030" t="s">
        <v>11</v>
      </c>
      <c r="D1030" t="s">
        <v>43</v>
      </c>
      <c r="E1030">
        <v>18</v>
      </c>
      <c r="F1030">
        <v>1</v>
      </c>
      <c r="G1030" s="2">
        <v>1.97</v>
      </c>
      <c r="I1030">
        <f>1500</f>
        <v>1500</v>
      </c>
      <c r="J1030" s="8">
        <f>IF(Tableau3[[#This Row],[prospet]]=0,0,Tableau3[[#This Row],[Ventes]]/Tableau3[[#This Row],[prospet]])</f>
        <v>5.5555555555555552E-2</v>
      </c>
      <c r="K1030">
        <v>4348553</v>
      </c>
    </row>
    <row r="1031" spans="1:11" x14ac:dyDescent="0.3">
      <c r="A1031" s="1">
        <v>46212</v>
      </c>
      <c r="B1031" t="s">
        <v>30</v>
      </c>
      <c r="C1031" t="s">
        <v>88</v>
      </c>
      <c r="D1031" t="s">
        <v>30</v>
      </c>
      <c r="E1031">
        <v>34</v>
      </c>
      <c r="G1031" s="2">
        <v>2.73</v>
      </c>
      <c r="J1031" s="8">
        <f>IF(Tableau3[[#This Row],[prospet]]=0,0,Tableau3[[#This Row],[Ventes]]/Tableau3[[#This Row],[prospet]])</f>
        <v>0</v>
      </c>
      <c r="K1031">
        <v>4586158</v>
      </c>
    </row>
    <row r="1032" spans="1:11" x14ac:dyDescent="0.3">
      <c r="A1032" s="1">
        <v>46212</v>
      </c>
      <c r="B1032" t="s">
        <v>3</v>
      </c>
      <c r="C1032" t="s">
        <v>89</v>
      </c>
      <c r="D1032" t="s">
        <v>3</v>
      </c>
      <c r="J1032" s="8">
        <f>IF(Tableau3[[#This Row],[prospet]]=0,0,Tableau3[[#This Row],[Ventes]]/Tableau3[[#This Row],[prospet]])</f>
        <v>0</v>
      </c>
      <c r="K1032">
        <v>4561858</v>
      </c>
    </row>
    <row r="1033" spans="1:11" x14ac:dyDescent="0.3">
      <c r="A1033" s="1">
        <v>46212</v>
      </c>
      <c r="B1033" t="s">
        <v>60</v>
      </c>
      <c r="C1033" t="s">
        <v>85</v>
      </c>
      <c r="D1033" t="s">
        <v>61</v>
      </c>
      <c r="J1033" s="8">
        <f>IF(Tableau3[[#This Row],[prospet]]=0,0,Tableau3[[#This Row],[Ventes]]/Tableau3[[#This Row],[prospet]])</f>
        <v>0</v>
      </c>
      <c r="K1033">
        <v>4587211</v>
      </c>
    </row>
    <row r="1034" spans="1:11" x14ac:dyDescent="0.3">
      <c r="A1034" s="1">
        <v>46212</v>
      </c>
      <c r="B1034" t="s">
        <v>62</v>
      </c>
      <c r="C1034" t="s">
        <v>90</v>
      </c>
      <c r="D1034" t="s">
        <v>62</v>
      </c>
      <c r="J1034" s="8">
        <f>IF(Tableau3[[#This Row],[prospet]]=0,0,Tableau3[[#This Row],[Ventes]]/Tableau3[[#This Row],[prospet]])</f>
        <v>0</v>
      </c>
      <c r="K1034">
        <v>4221767</v>
      </c>
    </row>
    <row r="1035" spans="1:11" x14ac:dyDescent="0.3">
      <c r="A1035" s="1">
        <v>46212</v>
      </c>
      <c r="B1035" t="s">
        <v>63</v>
      </c>
      <c r="C1035" t="s">
        <v>91</v>
      </c>
      <c r="D1035" t="s">
        <v>154</v>
      </c>
      <c r="E1035">
        <v>11</v>
      </c>
      <c r="G1035" s="2">
        <v>2.2999999999999998</v>
      </c>
      <c r="J1035" s="8">
        <f>IF(Tableau3[[#This Row],[prospet]]=0,0,Tableau3[[#This Row],[Ventes]]/Tableau3[[#This Row],[prospet]])</f>
        <v>0</v>
      </c>
      <c r="K1035">
        <v>4463888</v>
      </c>
    </row>
    <row r="1036" spans="1:11" x14ac:dyDescent="0.3">
      <c r="A1036" s="1">
        <v>46212</v>
      </c>
      <c r="B1036" t="s">
        <v>64</v>
      </c>
      <c r="D1036" t="s">
        <v>64</v>
      </c>
      <c r="J1036" s="8">
        <f>IF(Tableau3[[#This Row],[prospet]]=0,0,Tableau3[[#This Row],[Ventes]]/Tableau3[[#This Row],[prospet]])</f>
        <v>0</v>
      </c>
      <c r="K1036">
        <v>4080782</v>
      </c>
    </row>
    <row r="1037" spans="1:11" x14ac:dyDescent="0.3">
      <c r="A1037" s="1">
        <v>46212</v>
      </c>
      <c r="B1037" t="s">
        <v>81</v>
      </c>
      <c r="C1037" t="s">
        <v>92</v>
      </c>
      <c r="D1037" t="s">
        <v>81</v>
      </c>
      <c r="E1037">
        <v>26</v>
      </c>
      <c r="G1037" s="2">
        <v>2.27</v>
      </c>
      <c r="J1037" s="8">
        <f>IF(Tableau3[[#This Row],[prospet]]=0,0,Tableau3[[#This Row],[Ventes]]/Tableau3[[#This Row],[prospet]])</f>
        <v>0</v>
      </c>
      <c r="K1037">
        <v>4559847</v>
      </c>
    </row>
    <row r="1038" spans="1:11" x14ac:dyDescent="0.3">
      <c r="A1038" s="1">
        <v>46212</v>
      </c>
      <c r="B1038" t="s">
        <v>82</v>
      </c>
      <c r="C1038" t="s">
        <v>11</v>
      </c>
      <c r="D1038" t="s">
        <v>82</v>
      </c>
      <c r="J1038" s="8">
        <f>IF(Tableau3[[#This Row],[prospet]]=0,0,Tableau3[[#This Row],[Ventes]]/Tableau3[[#This Row],[prospet]])</f>
        <v>0</v>
      </c>
      <c r="K1038">
        <v>4541035</v>
      </c>
    </row>
    <row r="1039" spans="1:11" x14ac:dyDescent="0.3">
      <c r="A1039" s="1">
        <v>46212</v>
      </c>
      <c r="B1039" t="s">
        <v>97</v>
      </c>
      <c r="C1039" t="s">
        <v>93</v>
      </c>
      <c r="D1039" t="s">
        <v>97</v>
      </c>
      <c r="E1039">
        <v>9</v>
      </c>
      <c r="G1039" s="2">
        <v>1.02</v>
      </c>
      <c r="J1039" s="8">
        <f>IF(Tableau3[[#This Row],[prospet]]=0,0,Tableau3[[#This Row],[Ventes]]/Tableau3[[#This Row],[prospet]])</f>
        <v>0</v>
      </c>
      <c r="K1039">
        <v>4636761</v>
      </c>
    </row>
    <row r="1040" spans="1:11" x14ac:dyDescent="0.3">
      <c r="A1040" s="1">
        <v>46212</v>
      </c>
      <c r="B1040" t="s">
        <v>80</v>
      </c>
      <c r="C1040" t="s">
        <v>94</v>
      </c>
      <c r="D1040" t="s">
        <v>155</v>
      </c>
      <c r="E1040">
        <v>18</v>
      </c>
      <c r="F1040">
        <v>8</v>
      </c>
      <c r="G1040" s="2">
        <v>1.95</v>
      </c>
      <c r="I1040">
        <f>1500+1500+1000+1000+1000+1500+1000+2500</f>
        <v>11000</v>
      </c>
      <c r="J1040" s="8">
        <f>IF(Tableau3[[#This Row],[prospet]]=0,0,Tableau3[[#This Row],[Ventes]]/Tableau3[[#This Row],[prospet]])</f>
        <v>0.44444444444444442</v>
      </c>
      <c r="K1040">
        <v>4636772</v>
      </c>
    </row>
    <row r="1041" spans="1:11" x14ac:dyDescent="0.3">
      <c r="A1041" s="1">
        <v>46212</v>
      </c>
      <c r="B1041" t="s">
        <v>83</v>
      </c>
      <c r="C1041" t="s">
        <v>95</v>
      </c>
      <c r="D1041" t="s">
        <v>83</v>
      </c>
      <c r="J1041" s="8">
        <f>IF(Tableau3[[#This Row],[prospet]]=0,0,Tableau3[[#This Row],[Ventes]]/Tableau3[[#This Row],[prospet]])</f>
        <v>0</v>
      </c>
      <c r="K1041">
        <v>3947053</v>
      </c>
    </row>
    <row r="1042" spans="1:11" x14ac:dyDescent="0.3">
      <c r="A1042" s="1">
        <v>46212</v>
      </c>
      <c r="B1042" t="s">
        <v>84</v>
      </c>
      <c r="C1042" t="s">
        <v>96</v>
      </c>
      <c r="D1042" t="s">
        <v>84</v>
      </c>
      <c r="E1042">
        <v>20</v>
      </c>
      <c r="G1042" s="2">
        <v>2.64</v>
      </c>
      <c r="J1042" s="8">
        <f>IF(Tableau3[[#This Row],[prospet]]=0,0,Tableau3[[#This Row],[Ventes]]/Tableau3[[#This Row],[prospet]])</f>
        <v>0</v>
      </c>
      <c r="K1042">
        <v>4587817</v>
      </c>
    </row>
    <row r="1043" spans="1:11" x14ac:dyDescent="0.3">
      <c r="A1043" s="1">
        <v>46212</v>
      </c>
      <c r="B1043" t="s">
        <v>98</v>
      </c>
      <c r="C1043" t="s">
        <v>99</v>
      </c>
      <c r="D1043" t="s">
        <v>98</v>
      </c>
      <c r="E1043">
        <v>15</v>
      </c>
      <c r="F1043">
        <v>2</v>
      </c>
      <c r="G1043" s="2">
        <v>1.42</v>
      </c>
      <c r="I1043">
        <f>1500+1000</f>
        <v>2500</v>
      </c>
      <c r="J1043" s="8">
        <f>IF(Tableau3[[#This Row],[prospet]]=0,0,Tableau3[[#This Row],[Ventes]]/Tableau3[[#This Row],[prospet]])</f>
        <v>0.13333333333333333</v>
      </c>
      <c r="K1043">
        <v>3330821</v>
      </c>
    </row>
    <row r="1044" spans="1:11" x14ac:dyDescent="0.3">
      <c r="A1044" s="1">
        <v>46212</v>
      </c>
      <c r="B1044" t="s">
        <v>109</v>
      </c>
      <c r="C1044" t="s">
        <v>110</v>
      </c>
      <c r="D1044" t="s">
        <v>109</v>
      </c>
      <c r="J1044" s="8">
        <f>IF(Tableau3[[#This Row],[prospet]]=0,0,Tableau3[[#This Row],[Ventes]]/Tableau3[[#This Row],[prospet]])</f>
        <v>0</v>
      </c>
      <c r="K1044">
        <v>4090831</v>
      </c>
    </row>
    <row r="1045" spans="1:11" x14ac:dyDescent="0.3">
      <c r="A1045" s="1">
        <v>46212</v>
      </c>
      <c r="B1045" t="s">
        <v>111</v>
      </c>
      <c r="C1045" t="s">
        <v>138</v>
      </c>
      <c r="D1045" t="s">
        <v>115</v>
      </c>
      <c r="J1045" s="8">
        <f>IF(Tableau3[[#This Row],[prospet]]=0,0,Tableau3[[#This Row],[Ventes]]/Tableau3[[#This Row],[prospet]])</f>
        <v>0</v>
      </c>
      <c r="K1045">
        <v>4209873</v>
      </c>
    </row>
    <row r="1046" spans="1:11" x14ac:dyDescent="0.3">
      <c r="A1046" s="1">
        <v>46212</v>
      </c>
      <c r="B1046" t="s">
        <v>112</v>
      </c>
      <c r="C1046" t="s">
        <v>138</v>
      </c>
      <c r="D1046" t="s">
        <v>113</v>
      </c>
      <c r="J1046" s="8">
        <f>IF(Tableau3[[#This Row],[prospet]]=0,0,Tableau3[[#This Row],[Ventes]]/Tableau3[[#This Row],[prospet]])</f>
        <v>0</v>
      </c>
      <c r="K1046">
        <v>4937885</v>
      </c>
    </row>
    <row r="1047" spans="1:11" x14ac:dyDescent="0.3">
      <c r="A1047" s="1">
        <v>46212</v>
      </c>
      <c r="B1047" t="s">
        <v>152</v>
      </c>
      <c r="D1047" t="s">
        <v>152</v>
      </c>
      <c r="J1047" s="8">
        <f>IF(Tableau3[[#This Row],[prospet]]=0,0,Tableau3[[#This Row],[Ventes]]/Tableau3[[#This Row],[prospet]])</f>
        <v>0</v>
      </c>
      <c r="K1047">
        <v>4476670</v>
      </c>
    </row>
    <row r="1048" spans="1:11" x14ac:dyDescent="0.3">
      <c r="A1048" s="1">
        <v>46213</v>
      </c>
      <c r="B1048" t="s">
        <v>16</v>
      </c>
      <c r="C1048" t="s">
        <v>85</v>
      </c>
      <c r="D1048" t="s">
        <v>18</v>
      </c>
      <c r="E1048">
        <v>33</v>
      </c>
      <c r="F1048">
        <v>7</v>
      </c>
      <c r="G1048" s="2">
        <v>2.84</v>
      </c>
      <c r="I1048">
        <f>1500+1000+1500+2500+1500</f>
        <v>8000</v>
      </c>
      <c r="J1048" s="8">
        <f>IF(Tableau3[[#This Row],[prospet]]=0,0,Tableau3[[#This Row],[Ventes]]/Tableau3[[#This Row],[prospet]])</f>
        <v>0.21212121212121213</v>
      </c>
      <c r="K1048">
        <v>4316190</v>
      </c>
    </row>
    <row r="1049" spans="1:11" x14ac:dyDescent="0.3">
      <c r="A1049" s="1">
        <v>46213</v>
      </c>
      <c r="B1049" t="s">
        <v>9</v>
      </c>
      <c r="C1049" t="s">
        <v>86</v>
      </c>
      <c r="D1049" t="s">
        <v>13</v>
      </c>
      <c r="E1049">
        <v>26</v>
      </c>
      <c r="G1049" s="2">
        <v>2.5099999999999998</v>
      </c>
      <c r="J1049" s="8">
        <f>IF(Tableau3[[#This Row],[prospet]]=0,0,Tableau3[[#This Row],[Ventes]]/Tableau3[[#This Row],[prospet]])</f>
        <v>0</v>
      </c>
      <c r="K1049">
        <v>4554529</v>
      </c>
    </row>
    <row r="1050" spans="1:11" x14ac:dyDescent="0.3">
      <c r="A1050" s="1">
        <v>46213</v>
      </c>
      <c r="B1050" t="s">
        <v>43</v>
      </c>
      <c r="C1050" t="s">
        <v>11</v>
      </c>
      <c r="D1050" t="s">
        <v>43</v>
      </c>
      <c r="J1050" s="8">
        <f>IF(Tableau3[[#This Row],[prospet]]=0,0,Tableau3[[#This Row],[Ventes]]/Tableau3[[#This Row],[prospet]])</f>
        <v>0</v>
      </c>
      <c r="K1050">
        <v>4348553</v>
      </c>
    </row>
    <row r="1051" spans="1:11" x14ac:dyDescent="0.3">
      <c r="A1051" s="1">
        <v>46213</v>
      </c>
      <c r="B1051" t="s">
        <v>30</v>
      </c>
      <c r="C1051" t="s">
        <v>88</v>
      </c>
      <c r="D1051" t="s">
        <v>30</v>
      </c>
      <c r="E1051">
        <v>39</v>
      </c>
      <c r="F1051">
        <v>3</v>
      </c>
      <c r="G1051" s="2">
        <v>3.27</v>
      </c>
      <c r="I1051">
        <f>1500+1000+2500</f>
        <v>5000</v>
      </c>
      <c r="J1051" s="8">
        <f>IF(Tableau3[[#This Row],[prospet]]=0,0,Tableau3[[#This Row],[Ventes]]/Tableau3[[#This Row],[prospet]])</f>
        <v>7.6923076923076927E-2</v>
      </c>
      <c r="K1051">
        <v>4586158</v>
      </c>
    </row>
    <row r="1052" spans="1:11" x14ac:dyDescent="0.3">
      <c r="A1052" s="1">
        <v>46213</v>
      </c>
      <c r="B1052" t="s">
        <v>3</v>
      </c>
      <c r="C1052" t="s">
        <v>89</v>
      </c>
      <c r="D1052" t="s">
        <v>3</v>
      </c>
      <c r="J1052" s="8">
        <f>IF(Tableau3[[#This Row],[prospet]]=0,0,Tableau3[[#This Row],[Ventes]]/Tableau3[[#This Row],[prospet]])</f>
        <v>0</v>
      </c>
      <c r="K1052">
        <v>4561858</v>
      </c>
    </row>
    <row r="1053" spans="1:11" x14ac:dyDescent="0.3">
      <c r="A1053" s="1">
        <v>46213</v>
      </c>
      <c r="B1053" t="s">
        <v>60</v>
      </c>
      <c r="C1053" t="s">
        <v>85</v>
      </c>
      <c r="D1053" t="s">
        <v>61</v>
      </c>
      <c r="J1053" s="8">
        <f>IF(Tableau3[[#This Row],[prospet]]=0,0,Tableau3[[#This Row],[Ventes]]/Tableau3[[#This Row],[prospet]])</f>
        <v>0</v>
      </c>
      <c r="K1053">
        <v>4587211</v>
      </c>
    </row>
    <row r="1054" spans="1:11" x14ac:dyDescent="0.3">
      <c r="A1054" s="1">
        <v>46213</v>
      </c>
      <c r="B1054" t="s">
        <v>62</v>
      </c>
      <c r="C1054" t="s">
        <v>90</v>
      </c>
      <c r="D1054" t="s">
        <v>62</v>
      </c>
      <c r="J1054" s="8">
        <f>IF(Tableau3[[#This Row],[prospet]]=0,0,Tableau3[[#This Row],[Ventes]]/Tableau3[[#This Row],[prospet]])</f>
        <v>0</v>
      </c>
      <c r="K1054">
        <v>4221767</v>
      </c>
    </row>
    <row r="1055" spans="1:11" x14ac:dyDescent="0.3">
      <c r="A1055" s="1">
        <v>46213</v>
      </c>
      <c r="B1055" t="s">
        <v>63</v>
      </c>
      <c r="C1055" t="s">
        <v>91</v>
      </c>
      <c r="D1055" t="s">
        <v>154</v>
      </c>
      <c r="E1055">
        <v>26</v>
      </c>
      <c r="G1055" s="2">
        <v>2.37</v>
      </c>
      <c r="J1055" s="8">
        <f>IF(Tableau3[[#This Row],[prospet]]=0,0,Tableau3[[#This Row],[Ventes]]/Tableau3[[#This Row],[prospet]])</f>
        <v>0</v>
      </c>
      <c r="K1055">
        <v>4463888</v>
      </c>
    </row>
    <row r="1056" spans="1:11" x14ac:dyDescent="0.3">
      <c r="A1056" s="1">
        <v>46213</v>
      </c>
      <c r="B1056" t="s">
        <v>64</v>
      </c>
      <c r="D1056" t="s">
        <v>64</v>
      </c>
      <c r="J1056" s="8">
        <f>IF(Tableau3[[#This Row],[prospet]]=0,0,Tableau3[[#This Row],[Ventes]]/Tableau3[[#This Row],[prospet]])</f>
        <v>0</v>
      </c>
      <c r="K1056">
        <v>4080782</v>
      </c>
    </row>
    <row r="1057" spans="1:11" x14ac:dyDescent="0.3">
      <c r="A1057" s="1">
        <v>46213</v>
      </c>
      <c r="B1057" t="s">
        <v>81</v>
      </c>
      <c r="C1057" t="s">
        <v>92</v>
      </c>
      <c r="D1057" t="s">
        <v>81</v>
      </c>
      <c r="E1057">
        <v>26</v>
      </c>
      <c r="F1057">
        <v>2</v>
      </c>
      <c r="G1057" s="2">
        <v>2.87</v>
      </c>
      <c r="I1057">
        <f>2500+1000</f>
        <v>3500</v>
      </c>
      <c r="J1057" s="8">
        <f>IF(Tableau3[[#This Row],[prospet]]=0,0,Tableau3[[#This Row],[Ventes]]/Tableau3[[#This Row],[prospet]])</f>
        <v>7.6923076923076927E-2</v>
      </c>
      <c r="K1057">
        <v>4559847</v>
      </c>
    </row>
    <row r="1058" spans="1:11" x14ac:dyDescent="0.3">
      <c r="A1058" s="1">
        <v>46213</v>
      </c>
      <c r="B1058" t="s">
        <v>82</v>
      </c>
      <c r="C1058" t="s">
        <v>11</v>
      </c>
      <c r="D1058" t="s">
        <v>82</v>
      </c>
      <c r="J1058" s="8">
        <f>IF(Tableau3[[#This Row],[prospet]]=0,0,Tableau3[[#This Row],[Ventes]]/Tableau3[[#This Row],[prospet]])</f>
        <v>0</v>
      </c>
      <c r="K1058">
        <v>4541035</v>
      </c>
    </row>
    <row r="1059" spans="1:11" x14ac:dyDescent="0.3">
      <c r="A1059" s="1">
        <v>46213</v>
      </c>
      <c r="B1059" t="s">
        <v>97</v>
      </c>
      <c r="C1059" t="s">
        <v>93</v>
      </c>
      <c r="D1059" t="s">
        <v>97</v>
      </c>
      <c r="J1059" s="8">
        <f>IF(Tableau3[[#This Row],[prospet]]=0,0,Tableau3[[#This Row],[Ventes]]/Tableau3[[#This Row],[prospet]])</f>
        <v>0</v>
      </c>
      <c r="K1059">
        <v>4636761</v>
      </c>
    </row>
    <row r="1060" spans="1:11" x14ac:dyDescent="0.3">
      <c r="A1060" s="1">
        <v>46213</v>
      </c>
      <c r="B1060" t="s">
        <v>80</v>
      </c>
      <c r="C1060" t="s">
        <v>94</v>
      </c>
      <c r="D1060" t="s">
        <v>155</v>
      </c>
      <c r="E1060">
        <v>12</v>
      </c>
      <c r="F1060">
        <v>1</v>
      </c>
      <c r="G1060" s="2">
        <v>1.87</v>
      </c>
      <c r="I1060">
        <f>1000</f>
        <v>1000</v>
      </c>
      <c r="J1060" s="8">
        <f>IF(Tableau3[[#This Row],[prospet]]=0,0,Tableau3[[#This Row],[Ventes]]/Tableau3[[#This Row],[prospet]])</f>
        <v>8.3333333333333329E-2</v>
      </c>
      <c r="K1060">
        <v>4636772</v>
      </c>
    </row>
    <row r="1061" spans="1:11" x14ac:dyDescent="0.3">
      <c r="A1061" s="1">
        <v>46213</v>
      </c>
      <c r="B1061" t="s">
        <v>83</v>
      </c>
      <c r="C1061" t="s">
        <v>95</v>
      </c>
      <c r="D1061" t="s">
        <v>83</v>
      </c>
      <c r="J1061" s="8">
        <f>IF(Tableau3[[#This Row],[prospet]]=0,0,Tableau3[[#This Row],[Ventes]]/Tableau3[[#This Row],[prospet]])</f>
        <v>0</v>
      </c>
      <c r="K1061">
        <v>3947053</v>
      </c>
    </row>
    <row r="1062" spans="1:11" x14ac:dyDescent="0.3">
      <c r="A1062" s="1">
        <v>46213</v>
      </c>
      <c r="B1062" t="s">
        <v>84</v>
      </c>
      <c r="C1062" t="s">
        <v>96</v>
      </c>
      <c r="D1062" t="s">
        <v>84</v>
      </c>
      <c r="E1062">
        <v>42</v>
      </c>
      <c r="G1062" s="2">
        <v>3.27</v>
      </c>
      <c r="J1062" s="8">
        <f>IF(Tableau3[[#This Row],[prospet]]=0,0,Tableau3[[#This Row],[Ventes]]/Tableau3[[#This Row],[prospet]])</f>
        <v>0</v>
      </c>
      <c r="K1062">
        <v>4587817</v>
      </c>
    </row>
    <row r="1063" spans="1:11" x14ac:dyDescent="0.3">
      <c r="A1063" s="1">
        <v>46213</v>
      </c>
      <c r="B1063" t="s">
        <v>98</v>
      </c>
      <c r="C1063" t="s">
        <v>99</v>
      </c>
      <c r="D1063" t="s">
        <v>98</v>
      </c>
      <c r="E1063">
        <v>29</v>
      </c>
      <c r="G1063" s="2">
        <v>2.0099999999999998</v>
      </c>
      <c r="J1063" s="8">
        <f>IF(Tableau3[[#This Row],[prospet]]=0,0,Tableau3[[#This Row],[Ventes]]/Tableau3[[#This Row],[prospet]])</f>
        <v>0</v>
      </c>
      <c r="K1063">
        <v>3330821</v>
      </c>
    </row>
    <row r="1064" spans="1:11" x14ac:dyDescent="0.3">
      <c r="A1064" s="1">
        <v>46213</v>
      </c>
      <c r="B1064" t="s">
        <v>109</v>
      </c>
      <c r="C1064" t="s">
        <v>110</v>
      </c>
      <c r="D1064" t="s">
        <v>109</v>
      </c>
      <c r="J1064" s="8">
        <f>IF(Tableau3[[#This Row],[prospet]]=0,0,Tableau3[[#This Row],[Ventes]]/Tableau3[[#This Row],[prospet]])</f>
        <v>0</v>
      </c>
      <c r="K1064">
        <v>4090831</v>
      </c>
    </row>
    <row r="1065" spans="1:11" x14ac:dyDescent="0.3">
      <c r="A1065" s="1">
        <v>46213</v>
      </c>
      <c r="B1065" t="s">
        <v>111</v>
      </c>
      <c r="C1065" t="s">
        <v>138</v>
      </c>
      <c r="D1065" t="s">
        <v>115</v>
      </c>
      <c r="J1065" s="8">
        <f>IF(Tableau3[[#This Row],[prospet]]=0,0,Tableau3[[#This Row],[Ventes]]/Tableau3[[#This Row],[prospet]])</f>
        <v>0</v>
      </c>
      <c r="K1065">
        <v>4209873</v>
      </c>
    </row>
    <row r="1066" spans="1:11" x14ac:dyDescent="0.3">
      <c r="A1066" s="1">
        <v>46213</v>
      </c>
      <c r="B1066" t="s">
        <v>112</v>
      </c>
      <c r="C1066" t="s">
        <v>138</v>
      </c>
      <c r="D1066" t="s">
        <v>113</v>
      </c>
      <c r="J1066" s="8">
        <f>IF(Tableau3[[#This Row],[prospet]]=0,0,Tableau3[[#This Row],[Ventes]]/Tableau3[[#This Row],[prospet]])</f>
        <v>0</v>
      </c>
      <c r="K1066">
        <v>4937885</v>
      </c>
    </row>
    <row r="1067" spans="1:11" x14ac:dyDescent="0.3">
      <c r="A1067" s="1">
        <v>46213</v>
      </c>
      <c r="B1067" t="s">
        <v>152</v>
      </c>
      <c r="D1067" t="s">
        <v>152</v>
      </c>
      <c r="J1067" s="8">
        <f>IF(Tableau3[[#This Row],[prospet]]=0,0,Tableau3[[#This Row],[Ventes]]/Tableau3[[#This Row],[prospet]])</f>
        <v>0</v>
      </c>
      <c r="K1067">
        <v>4476670</v>
      </c>
    </row>
    <row r="1068" spans="1:11" x14ac:dyDescent="0.3">
      <c r="A1068" s="1">
        <v>46214</v>
      </c>
      <c r="B1068" t="s">
        <v>16</v>
      </c>
      <c r="C1068" t="s">
        <v>85</v>
      </c>
      <c r="D1068" t="s">
        <v>18</v>
      </c>
      <c r="J1068" s="8">
        <f>IF(Tableau3[[#This Row],[prospet]]=0,0,Tableau3[[#This Row],[Ventes]]/Tableau3[[#This Row],[prospet]])</f>
        <v>0</v>
      </c>
      <c r="K1068">
        <v>4316190</v>
      </c>
    </row>
    <row r="1069" spans="1:11" x14ac:dyDescent="0.3">
      <c r="A1069" s="1">
        <v>46214</v>
      </c>
      <c r="B1069" t="s">
        <v>9</v>
      </c>
      <c r="C1069" t="s">
        <v>86</v>
      </c>
      <c r="D1069" t="s">
        <v>13</v>
      </c>
      <c r="J1069" s="8">
        <f>IF(Tableau3[[#This Row],[prospet]]=0,0,Tableau3[[#This Row],[Ventes]]/Tableau3[[#This Row],[prospet]])</f>
        <v>0</v>
      </c>
      <c r="K1069">
        <v>4554529</v>
      </c>
    </row>
    <row r="1070" spans="1:11" x14ac:dyDescent="0.3">
      <c r="A1070" s="1">
        <v>46214</v>
      </c>
      <c r="B1070" t="s">
        <v>43</v>
      </c>
      <c r="C1070" t="s">
        <v>11</v>
      </c>
      <c r="D1070" t="s">
        <v>43</v>
      </c>
      <c r="F1070">
        <v>1</v>
      </c>
      <c r="H1070">
        <v>12500</v>
      </c>
      <c r="I1070">
        <v>2500</v>
      </c>
      <c r="J1070" s="8">
        <f>IF(Tableau3[[#This Row],[prospet]]=0,0,Tableau3[[#This Row],[Ventes]]/Tableau3[[#This Row],[prospet]])</f>
        <v>0</v>
      </c>
      <c r="K1070">
        <v>4348553</v>
      </c>
    </row>
    <row r="1071" spans="1:11" x14ac:dyDescent="0.3">
      <c r="A1071" s="1">
        <v>46214</v>
      </c>
      <c r="B1071" t="s">
        <v>30</v>
      </c>
      <c r="C1071" t="s">
        <v>88</v>
      </c>
      <c r="D1071" t="s">
        <v>30</v>
      </c>
      <c r="F1071">
        <v>1</v>
      </c>
      <c r="H1071">
        <v>8000</v>
      </c>
      <c r="I1071">
        <v>2500</v>
      </c>
      <c r="J1071" s="8">
        <f>IF(Tableau3[[#This Row],[prospet]]=0,0,Tableau3[[#This Row],[Ventes]]/Tableau3[[#This Row],[prospet]])</f>
        <v>0</v>
      </c>
      <c r="K1071">
        <v>4586158</v>
      </c>
    </row>
    <row r="1072" spans="1:11" x14ac:dyDescent="0.3">
      <c r="A1072" s="1">
        <v>46214</v>
      </c>
      <c r="B1072" t="s">
        <v>3</v>
      </c>
      <c r="C1072" t="s">
        <v>89</v>
      </c>
      <c r="D1072" t="s">
        <v>3</v>
      </c>
      <c r="F1072">
        <v>1</v>
      </c>
      <c r="H1072">
        <v>4000</v>
      </c>
      <c r="I1072">
        <v>1000</v>
      </c>
      <c r="J1072" s="8">
        <f>IF(Tableau3[[#This Row],[prospet]]=0,0,Tableau3[[#This Row],[Ventes]]/Tableau3[[#This Row],[prospet]])</f>
        <v>0</v>
      </c>
      <c r="K1072">
        <v>4561858</v>
      </c>
    </row>
    <row r="1073" spans="1:11" x14ac:dyDescent="0.3">
      <c r="A1073" s="1">
        <v>46214</v>
      </c>
      <c r="B1073" t="s">
        <v>60</v>
      </c>
      <c r="C1073" t="s">
        <v>85</v>
      </c>
      <c r="D1073" t="s">
        <v>61</v>
      </c>
      <c r="J1073" s="8">
        <f>IF(Tableau3[[#This Row],[prospet]]=0,0,Tableau3[[#This Row],[Ventes]]/Tableau3[[#This Row],[prospet]])</f>
        <v>0</v>
      </c>
      <c r="K1073">
        <v>4587211</v>
      </c>
    </row>
    <row r="1074" spans="1:11" x14ac:dyDescent="0.3">
      <c r="A1074" s="1">
        <v>46214</v>
      </c>
      <c r="B1074" t="s">
        <v>62</v>
      </c>
      <c r="C1074" t="s">
        <v>90</v>
      </c>
      <c r="D1074" t="s">
        <v>62</v>
      </c>
      <c r="J1074" s="8">
        <f>IF(Tableau3[[#This Row],[prospet]]=0,0,Tableau3[[#This Row],[Ventes]]/Tableau3[[#This Row],[prospet]])</f>
        <v>0</v>
      </c>
      <c r="K1074">
        <v>4221767</v>
      </c>
    </row>
    <row r="1075" spans="1:11" x14ac:dyDescent="0.3">
      <c r="A1075" s="1">
        <v>46214</v>
      </c>
      <c r="B1075" t="s">
        <v>63</v>
      </c>
      <c r="C1075" t="s">
        <v>91</v>
      </c>
      <c r="D1075" t="s">
        <v>154</v>
      </c>
      <c r="J1075" s="8">
        <f>IF(Tableau3[[#This Row],[prospet]]=0,0,Tableau3[[#This Row],[Ventes]]/Tableau3[[#This Row],[prospet]])</f>
        <v>0</v>
      </c>
      <c r="K1075">
        <v>4463888</v>
      </c>
    </row>
    <row r="1076" spans="1:11" x14ac:dyDescent="0.3">
      <c r="A1076" s="1">
        <v>46214</v>
      </c>
      <c r="B1076" t="s">
        <v>64</v>
      </c>
      <c r="D1076" t="s">
        <v>64</v>
      </c>
      <c r="J1076" s="8">
        <f>IF(Tableau3[[#This Row],[prospet]]=0,0,Tableau3[[#This Row],[Ventes]]/Tableau3[[#This Row],[prospet]])</f>
        <v>0</v>
      </c>
      <c r="K1076">
        <v>4080782</v>
      </c>
    </row>
    <row r="1077" spans="1:11" x14ac:dyDescent="0.3">
      <c r="A1077" s="1">
        <v>46214</v>
      </c>
      <c r="B1077" t="s">
        <v>81</v>
      </c>
      <c r="C1077" t="s">
        <v>92</v>
      </c>
      <c r="D1077" t="s">
        <v>81</v>
      </c>
      <c r="J1077" s="8">
        <f>IF(Tableau3[[#This Row],[prospet]]=0,0,Tableau3[[#This Row],[Ventes]]/Tableau3[[#This Row],[prospet]])</f>
        <v>0</v>
      </c>
      <c r="K1077">
        <v>4559847</v>
      </c>
    </row>
    <row r="1078" spans="1:11" x14ac:dyDescent="0.3">
      <c r="A1078" s="1">
        <v>46214</v>
      </c>
      <c r="B1078" t="s">
        <v>82</v>
      </c>
      <c r="C1078" t="s">
        <v>11</v>
      </c>
      <c r="D1078" t="s">
        <v>82</v>
      </c>
      <c r="J1078" s="8">
        <f>IF(Tableau3[[#This Row],[prospet]]=0,0,Tableau3[[#This Row],[Ventes]]/Tableau3[[#This Row],[prospet]])</f>
        <v>0</v>
      </c>
      <c r="K1078">
        <v>4541035</v>
      </c>
    </row>
    <row r="1079" spans="1:11" x14ac:dyDescent="0.3">
      <c r="A1079" s="1">
        <v>46214</v>
      </c>
      <c r="B1079" t="s">
        <v>97</v>
      </c>
      <c r="C1079" t="s">
        <v>93</v>
      </c>
      <c r="D1079" t="s">
        <v>97</v>
      </c>
      <c r="J1079" s="8">
        <f>IF(Tableau3[[#This Row],[prospet]]=0,0,Tableau3[[#This Row],[Ventes]]/Tableau3[[#This Row],[prospet]])</f>
        <v>0</v>
      </c>
      <c r="K1079">
        <v>4636761</v>
      </c>
    </row>
    <row r="1080" spans="1:11" x14ac:dyDescent="0.3">
      <c r="A1080" s="1">
        <v>46214</v>
      </c>
      <c r="B1080" t="s">
        <v>80</v>
      </c>
      <c r="C1080" t="s">
        <v>94</v>
      </c>
      <c r="D1080" t="s">
        <v>155</v>
      </c>
      <c r="F1080">
        <v>1</v>
      </c>
      <c r="H1080">
        <v>4000</v>
      </c>
      <c r="I1080">
        <v>1000</v>
      </c>
      <c r="J1080" s="8">
        <f>IF(Tableau3[[#This Row],[prospet]]=0,0,Tableau3[[#This Row],[Ventes]]/Tableau3[[#This Row],[prospet]])</f>
        <v>0</v>
      </c>
      <c r="K1080">
        <v>4636772</v>
      </c>
    </row>
    <row r="1081" spans="1:11" x14ac:dyDescent="0.3">
      <c r="A1081" s="1">
        <v>46214</v>
      </c>
      <c r="B1081" t="s">
        <v>83</v>
      </c>
      <c r="C1081" t="s">
        <v>95</v>
      </c>
      <c r="D1081" t="s">
        <v>83</v>
      </c>
      <c r="J1081" s="8">
        <f>IF(Tableau3[[#This Row],[prospet]]=0,0,Tableau3[[#This Row],[Ventes]]/Tableau3[[#This Row],[prospet]])</f>
        <v>0</v>
      </c>
      <c r="K1081">
        <v>3947053</v>
      </c>
    </row>
    <row r="1082" spans="1:11" x14ac:dyDescent="0.3">
      <c r="A1082" s="1">
        <v>46214</v>
      </c>
      <c r="B1082" t="s">
        <v>84</v>
      </c>
      <c r="C1082" t="s">
        <v>96</v>
      </c>
      <c r="D1082" t="s">
        <v>84</v>
      </c>
      <c r="F1082">
        <v>2</v>
      </c>
      <c r="H1082">
        <f>8500+3000</f>
        <v>11500</v>
      </c>
      <c r="I1082">
        <f>1000+2500</f>
        <v>3500</v>
      </c>
      <c r="J1082" s="8">
        <f>IF(Tableau3[[#This Row],[prospet]]=0,0,Tableau3[[#This Row],[Ventes]]/Tableau3[[#This Row],[prospet]])</f>
        <v>0</v>
      </c>
      <c r="K1082">
        <v>4587817</v>
      </c>
    </row>
    <row r="1083" spans="1:11" x14ac:dyDescent="0.3">
      <c r="A1083" s="1">
        <v>46214</v>
      </c>
      <c r="B1083" t="s">
        <v>98</v>
      </c>
      <c r="C1083" t="s">
        <v>99</v>
      </c>
      <c r="D1083" t="s">
        <v>98</v>
      </c>
      <c r="J1083" s="8">
        <f>IF(Tableau3[[#This Row],[prospet]]=0,0,Tableau3[[#This Row],[Ventes]]/Tableau3[[#This Row],[prospet]])</f>
        <v>0</v>
      </c>
      <c r="K1083">
        <v>3330821</v>
      </c>
    </row>
    <row r="1084" spans="1:11" x14ac:dyDescent="0.3">
      <c r="A1084" s="1">
        <v>46214</v>
      </c>
      <c r="B1084" t="s">
        <v>109</v>
      </c>
      <c r="C1084" t="s">
        <v>110</v>
      </c>
      <c r="D1084" t="s">
        <v>109</v>
      </c>
      <c r="F1084">
        <v>3</v>
      </c>
      <c r="H1084">
        <f>7000+8000</f>
        <v>15000</v>
      </c>
      <c r="J1084" s="8">
        <f>IF(Tableau3[[#This Row],[prospet]]=0,0,Tableau3[[#This Row],[Ventes]]/Tableau3[[#This Row],[prospet]])</f>
        <v>0</v>
      </c>
      <c r="K1084">
        <v>4090831</v>
      </c>
    </row>
    <row r="1085" spans="1:11" x14ac:dyDescent="0.3">
      <c r="A1085" s="1">
        <v>46214</v>
      </c>
      <c r="B1085" t="s">
        <v>111</v>
      </c>
      <c r="C1085" t="s">
        <v>138</v>
      </c>
      <c r="D1085" t="s">
        <v>115</v>
      </c>
      <c r="J1085" s="8">
        <f>IF(Tableau3[[#This Row],[prospet]]=0,0,Tableau3[[#This Row],[Ventes]]/Tableau3[[#This Row],[prospet]])</f>
        <v>0</v>
      </c>
      <c r="K1085">
        <v>4209873</v>
      </c>
    </row>
    <row r="1086" spans="1:11" x14ac:dyDescent="0.3">
      <c r="A1086" s="1">
        <v>46214</v>
      </c>
      <c r="B1086" t="s">
        <v>112</v>
      </c>
      <c r="C1086" t="s">
        <v>138</v>
      </c>
      <c r="D1086" t="s">
        <v>113</v>
      </c>
      <c r="J1086" s="8">
        <f>IF(Tableau3[[#This Row],[prospet]]=0,0,Tableau3[[#This Row],[Ventes]]/Tableau3[[#This Row],[prospet]])</f>
        <v>0</v>
      </c>
      <c r="K1086">
        <v>4937885</v>
      </c>
    </row>
    <row r="1087" spans="1:11" x14ac:dyDescent="0.3">
      <c r="A1087" s="1">
        <v>46215</v>
      </c>
      <c r="B1087" t="s">
        <v>16</v>
      </c>
      <c r="C1087" t="s">
        <v>85</v>
      </c>
      <c r="D1087" t="s">
        <v>18</v>
      </c>
      <c r="J1087" s="8">
        <f>IF(Tableau3[[#This Row],[prospet]]=0,0,Tableau3[[#This Row],[Ventes]]/Tableau3[[#This Row],[prospet]])</f>
        <v>0</v>
      </c>
      <c r="K1087">
        <v>4316190</v>
      </c>
    </row>
    <row r="1088" spans="1:11" x14ac:dyDescent="0.3">
      <c r="A1088" s="1">
        <v>46215</v>
      </c>
      <c r="B1088" t="s">
        <v>9</v>
      </c>
      <c r="C1088" t="s">
        <v>86</v>
      </c>
      <c r="D1088" t="s">
        <v>13</v>
      </c>
      <c r="J1088" s="8">
        <f>IF(Tableau3[[#This Row],[prospet]]=0,0,Tableau3[[#This Row],[Ventes]]/Tableau3[[#This Row],[prospet]])</f>
        <v>0</v>
      </c>
      <c r="K1088">
        <v>4554529</v>
      </c>
    </row>
    <row r="1089" spans="1:11" x14ac:dyDescent="0.3">
      <c r="A1089" s="1">
        <v>46215</v>
      </c>
      <c r="B1089" t="s">
        <v>43</v>
      </c>
      <c r="C1089" t="s">
        <v>11</v>
      </c>
      <c r="D1089" t="s">
        <v>43</v>
      </c>
      <c r="J1089" s="8">
        <f>IF(Tableau3[[#This Row],[prospet]]=0,0,Tableau3[[#This Row],[Ventes]]/Tableau3[[#This Row],[prospet]])</f>
        <v>0</v>
      </c>
      <c r="K1089">
        <v>4348553</v>
      </c>
    </row>
    <row r="1090" spans="1:11" x14ac:dyDescent="0.3">
      <c r="A1090" s="1">
        <v>46215</v>
      </c>
      <c r="B1090" t="s">
        <v>30</v>
      </c>
      <c r="C1090" t="s">
        <v>88</v>
      </c>
      <c r="D1090" t="s">
        <v>30</v>
      </c>
      <c r="J1090" s="8">
        <f>IF(Tableau3[[#This Row],[prospet]]=0,0,Tableau3[[#This Row],[Ventes]]/Tableau3[[#This Row],[prospet]])</f>
        <v>0</v>
      </c>
      <c r="K1090">
        <v>4586158</v>
      </c>
    </row>
    <row r="1091" spans="1:11" x14ac:dyDescent="0.3">
      <c r="A1091" s="1">
        <v>46215</v>
      </c>
      <c r="B1091" t="s">
        <v>3</v>
      </c>
      <c r="C1091" t="s">
        <v>89</v>
      </c>
      <c r="D1091" t="s">
        <v>3</v>
      </c>
      <c r="J1091" s="8">
        <f>IF(Tableau3[[#This Row],[prospet]]=0,0,Tableau3[[#This Row],[Ventes]]/Tableau3[[#This Row],[prospet]])</f>
        <v>0</v>
      </c>
      <c r="K1091">
        <v>4561858</v>
      </c>
    </row>
    <row r="1092" spans="1:11" x14ac:dyDescent="0.3">
      <c r="A1092" s="1">
        <v>46215</v>
      </c>
      <c r="B1092" t="s">
        <v>60</v>
      </c>
      <c r="C1092" t="s">
        <v>85</v>
      </c>
      <c r="D1092" t="s">
        <v>61</v>
      </c>
      <c r="J1092" s="8">
        <f>IF(Tableau3[[#This Row],[prospet]]=0,0,Tableau3[[#This Row],[Ventes]]/Tableau3[[#This Row],[prospet]])</f>
        <v>0</v>
      </c>
      <c r="K1092">
        <v>4587211</v>
      </c>
    </row>
    <row r="1093" spans="1:11" x14ac:dyDescent="0.3">
      <c r="A1093" s="1">
        <v>46215</v>
      </c>
      <c r="B1093" t="s">
        <v>62</v>
      </c>
      <c r="C1093" t="s">
        <v>90</v>
      </c>
      <c r="D1093" t="s">
        <v>62</v>
      </c>
      <c r="J1093" s="8">
        <f>IF(Tableau3[[#This Row],[prospet]]=0,0,Tableau3[[#This Row],[Ventes]]/Tableau3[[#This Row],[prospet]])</f>
        <v>0</v>
      </c>
      <c r="K1093">
        <v>4221767</v>
      </c>
    </row>
    <row r="1094" spans="1:11" x14ac:dyDescent="0.3">
      <c r="A1094" s="1">
        <v>46215</v>
      </c>
      <c r="B1094" t="s">
        <v>63</v>
      </c>
      <c r="C1094" t="s">
        <v>91</v>
      </c>
      <c r="D1094" t="s">
        <v>154</v>
      </c>
      <c r="J1094" s="8">
        <f>IF(Tableau3[[#This Row],[prospet]]=0,0,Tableau3[[#This Row],[Ventes]]/Tableau3[[#This Row],[prospet]])</f>
        <v>0</v>
      </c>
      <c r="K1094">
        <v>4463888</v>
      </c>
    </row>
    <row r="1095" spans="1:11" x14ac:dyDescent="0.3">
      <c r="A1095" s="1">
        <v>46215</v>
      </c>
      <c r="B1095" t="s">
        <v>64</v>
      </c>
      <c r="D1095" t="s">
        <v>64</v>
      </c>
      <c r="J1095" s="8">
        <f>IF(Tableau3[[#This Row],[prospet]]=0,0,Tableau3[[#This Row],[Ventes]]/Tableau3[[#This Row],[prospet]])</f>
        <v>0</v>
      </c>
      <c r="K1095">
        <v>4080782</v>
      </c>
    </row>
    <row r="1096" spans="1:11" x14ac:dyDescent="0.3">
      <c r="A1096" s="1">
        <v>46215</v>
      </c>
      <c r="B1096" t="s">
        <v>81</v>
      </c>
      <c r="C1096" t="s">
        <v>92</v>
      </c>
      <c r="D1096" t="s">
        <v>81</v>
      </c>
      <c r="J1096" s="8">
        <f>IF(Tableau3[[#This Row],[prospet]]=0,0,Tableau3[[#This Row],[Ventes]]/Tableau3[[#This Row],[prospet]])</f>
        <v>0</v>
      </c>
      <c r="K1096">
        <v>4559847</v>
      </c>
    </row>
    <row r="1097" spans="1:11" x14ac:dyDescent="0.3">
      <c r="A1097" s="1">
        <v>46215</v>
      </c>
      <c r="B1097" t="s">
        <v>82</v>
      </c>
      <c r="C1097" t="s">
        <v>11</v>
      </c>
      <c r="D1097" t="s">
        <v>82</v>
      </c>
      <c r="J1097" s="8">
        <f>IF(Tableau3[[#This Row],[prospet]]=0,0,Tableau3[[#This Row],[Ventes]]/Tableau3[[#This Row],[prospet]])</f>
        <v>0</v>
      </c>
      <c r="K1097">
        <v>4541035</v>
      </c>
    </row>
    <row r="1098" spans="1:11" x14ac:dyDescent="0.3">
      <c r="A1098" s="1">
        <v>46215</v>
      </c>
      <c r="B1098" t="s">
        <v>97</v>
      </c>
      <c r="C1098" t="s">
        <v>93</v>
      </c>
      <c r="D1098" t="s">
        <v>97</v>
      </c>
      <c r="J1098" s="8">
        <f>IF(Tableau3[[#This Row],[prospet]]=0,0,Tableau3[[#This Row],[Ventes]]/Tableau3[[#This Row],[prospet]])</f>
        <v>0</v>
      </c>
      <c r="K1098">
        <v>4636761</v>
      </c>
    </row>
    <row r="1099" spans="1:11" x14ac:dyDescent="0.3">
      <c r="A1099" s="1">
        <v>46215</v>
      </c>
      <c r="B1099" t="s">
        <v>80</v>
      </c>
      <c r="C1099" t="s">
        <v>94</v>
      </c>
      <c r="D1099" t="s">
        <v>155</v>
      </c>
      <c r="J1099" s="8">
        <f>IF(Tableau3[[#This Row],[prospet]]=0,0,Tableau3[[#This Row],[Ventes]]/Tableau3[[#This Row],[prospet]])</f>
        <v>0</v>
      </c>
      <c r="K1099">
        <v>4636772</v>
      </c>
    </row>
    <row r="1100" spans="1:11" x14ac:dyDescent="0.3">
      <c r="A1100" s="1">
        <v>46215</v>
      </c>
      <c r="B1100" t="s">
        <v>83</v>
      </c>
      <c r="C1100" t="s">
        <v>95</v>
      </c>
      <c r="D1100" t="s">
        <v>83</v>
      </c>
      <c r="J1100" s="8">
        <f>IF(Tableau3[[#This Row],[prospet]]=0,0,Tableau3[[#This Row],[Ventes]]/Tableau3[[#This Row],[prospet]])</f>
        <v>0</v>
      </c>
      <c r="K1100">
        <v>3947053</v>
      </c>
    </row>
    <row r="1101" spans="1:11" x14ac:dyDescent="0.3">
      <c r="A1101" s="1">
        <v>46215</v>
      </c>
      <c r="B1101" t="s">
        <v>84</v>
      </c>
      <c r="C1101" t="s">
        <v>96</v>
      </c>
      <c r="D1101" t="s">
        <v>84</v>
      </c>
      <c r="J1101" s="8">
        <f>IF(Tableau3[[#This Row],[prospet]]=0,0,Tableau3[[#This Row],[Ventes]]/Tableau3[[#This Row],[prospet]])</f>
        <v>0</v>
      </c>
      <c r="K1101">
        <v>4587817</v>
      </c>
    </row>
    <row r="1102" spans="1:11" x14ac:dyDescent="0.3">
      <c r="A1102" s="1">
        <v>46215</v>
      </c>
      <c r="B1102" t="s">
        <v>98</v>
      </c>
      <c r="C1102" t="s">
        <v>99</v>
      </c>
      <c r="D1102" t="s">
        <v>98</v>
      </c>
      <c r="J1102" s="8">
        <f>IF(Tableau3[[#This Row],[prospet]]=0,0,Tableau3[[#This Row],[Ventes]]/Tableau3[[#This Row],[prospet]])</f>
        <v>0</v>
      </c>
      <c r="K1102">
        <v>3330821</v>
      </c>
    </row>
    <row r="1103" spans="1:11" x14ac:dyDescent="0.3">
      <c r="A1103" s="1">
        <v>46215</v>
      </c>
      <c r="B1103" t="s">
        <v>109</v>
      </c>
      <c r="C1103" t="s">
        <v>110</v>
      </c>
      <c r="D1103" t="s">
        <v>109</v>
      </c>
      <c r="J1103" s="8">
        <f>IF(Tableau3[[#This Row],[prospet]]=0,0,Tableau3[[#This Row],[Ventes]]/Tableau3[[#This Row],[prospet]])</f>
        <v>0</v>
      </c>
      <c r="K1103">
        <v>4090831</v>
      </c>
    </row>
    <row r="1104" spans="1:11" x14ac:dyDescent="0.3">
      <c r="A1104" s="1">
        <v>46215</v>
      </c>
      <c r="B1104" t="s">
        <v>111</v>
      </c>
      <c r="C1104" t="s">
        <v>138</v>
      </c>
      <c r="D1104" t="s">
        <v>115</v>
      </c>
      <c r="J1104" s="8">
        <f>IF(Tableau3[[#This Row],[prospet]]=0,0,Tableau3[[#This Row],[Ventes]]/Tableau3[[#This Row],[prospet]])</f>
        <v>0</v>
      </c>
      <c r="K1104">
        <v>4209873</v>
      </c>
    </row>
    <row r="1105" spans="1:11" x14ac:dyDescent="0.3">
      <c r="A1105" s="1">
        <v>46215</v>
      </c>
      <c r="B1105" t="s">
        <v>112</v>
      </c>
      <c r="C1105" t="s">
        <v>138</v>
      </c>
      <c r="D1105" t="s">
        <v>113</v>
      </c>
      <c r="J1105" s="8">
        <f>IF(Tableau3[[#This Row],[prospet]]=0,0,Tableau3[[#This Row],[Ventes]]/Tableau3[[#This Row],[prospet]])</f>
        <v>0</v>
      </c>
      <c r="K1105">
        <v>4937885</v>
      </c>
    </row>
    <row r="1106" spans="1:11" x14ac:dyDescent="0.3">
      <c r="A1106" s="1">
        <v>46216</v>
      </c>
      <c r="B1106" t="s">
        <v>16</v>
      </c>
      <c r="C1106" t="s">
        <v>85</v>
      </c>
      <c r="D1106" t="s">
        <v>18</v>
      </c>
      <c r="E1106">
        <v>27</v>
      </c>
      <c r="G1106" s="2">
        <v>2.0699999999999998</v>
      </c>
      <c r="J1106" s="8">
        <f>IF(Tableau3[[#This Row],[prospet]]=0,0,Tableau3[[#This Row],[Ventes]]/Tableau3[[#This Row],[prospet]])</f>
        <v>0</v>
      </c>
      <c r="K1106">
        <v>4316190</v>
      </c>
    </row>
    <row r="1107" spans="1:11" x14ac:dyDescent="0.3">
      <c r="A1107" s="1">
        <v>46216</v>
      </c>
      <c r="B1107" t="s">
        <v>9</v>
      </c>
      <c r="C1107" t="s">
        <v>86</v>
      </c>
      <c r="D1107" t="s">
        <v>13</v>
      </c>
      <c r="E1107">
        <v>24</v>
      </c>
      <c r="F1107">
        <v>3</v>
      </c>
      <c r="G1107" s="2">
        <v>2.11</v>
      </c>
      <c r="H1107">
        <f>8000+16000</f>
        <v>24000</v>
      </c>
      <c r="I1107">
        <f>1500+3000</f>
        <v>4500</v>
      </c>
      <c r="J1107" s="8">
        <f>IF(Tableau3[[#This Row],[prospet]]=0,0,Tableau3[[#This Row],[Ventes]]/Tableau3[[#This Row],[prospet]])</f>
        <v>0.125</v>
      </c>
      <c r="K1107">
        <v>4554529</v>
      </c>
    </row>
    <row r="1108" spans="1:11" x14ac:dyDescent="0.3">
      <c r="A1108" s="1">
        <v>46216</v>
      </c>
      <c r="B1108" t="s">
        <v>43</v>
      </c>
      <c r="C1108" t="s">
        <v>11</v>
      </c>
      <c r="D1108" t="s">
        <v>43</v>
      </c>
      <c r="E1108">
        <v>18</v>
      </c>
      <c r="G1108" s="2">
        <v>2.13</v>
      </c>
      <c r="J1108" s="8">
        <f>IF(Tableau3[[#This Row],[prospet]]=0,0,Tableau3[[#This Row],[Ventes]]/Tableau3[[#This Row],[prospet]])</f>
        <v>0</v>
      </c>
      <c r="K1108">
        <v>4348553</v>
      </c>
    </row>
    <row r="1109" spans="1:11" x14ac:dyDescent="0.3">
      <c r="A1109" s="1">
        <v>46216</v>
      </c>
      <c r="B1109" t="s">
        <v>30</v>
      </c>
      <c r="C1109" t="s">
        <v>88</v>
      </c>
      <c r="D1109" t="s">
        <v>30</v>
      </c>
      <c r="E1109">
        <v>17</v>
      </c>
      <c r="F1109">
        <v>1</v>
      </c>
      <c r="G1109" s="2">
        <v>2.2999999999999998</v>
      </c>
      <c r="H1109">
        <v>5000</v>
      </c>
      <c r="I1109">
        <v>1000</v>
      </c>
      <c r="J1109" s="8">
        <f>IF(Tableau3[[#This Row],[prospet]]=0,0,Tableau3[[#This Row],[Ventes]]/Tableau3[[#This Row],[prospet]])</f>
        <v>5.8823529411764705E-2</v>
      </c>
      <c r="K1109">
        <v>4586158</v>
      </c>
    </row>
    <row r="1110" spans="1:11" x14ac:dyDescent="0.3">
      <c r="A1110" s="1">
        <v>46216</v>
      </c>
      <c r="B1110" t="s">
        <v>3</v>
      </c>
      <c r="C1110" t="s">
        <v>89</v>
      </c>
      <c r="D1110" t="s">
        <v>3</v>
      </c>
      <c r="J1110" s="8">
        <f>IF(Tableau3[[#This Row],[prospet]]=0,0,Tableau3[[#This Row],[Ventes]]/Tableau3[[#This Row],[prospet]])</f>
        <v>0</v>
      </c>
      <c r="K1110">
        <v>4561858</v>
      </c>
    </row>
    <row r="1111" spans="1:11" x14ac:dyDescent="0.3">
      <c r="A1111" s="1">
        <v>46216</v>
      </c>
      <c r="B1111" t="s">
        <v>62</v>
      </c>
      <c r="C1111" t="s">
        <v>90</v>
      </c>
      <c r="D1111" t="s">
        <v>62</v>
      </c>
      <c r="F1111">
        <v>1</v>
      </c>
      <c r="H1111">
        <v>8000</v>
      </c>
      <c r="I1111">
        <v>1500</v>
      </c>
      <c r="J1111" s="8">
        <f>IF(Tableau3[[#This Row],[prospet]]=0,0,Tableau3[[#This Row],[Ventes]]/Tableau3[[#This Row],[prospet]])</f>
        <v>0</v>
      </c>
      <c r="K1111">
        <v>4221767</v>
      </c>
    </row>
    <row r="1112" spans="1:11" x14ac:dyDescent="0.3">
      <c r="A1112" s="1">
        <v>46216</v>
      </c>
      <c r="B1112" t="s">
        <v>63</v>
      </c>
      <c r="C1112" t="s">
        <v>91</v>
      </c>
      <c r="D1112" t="s">
        <v>154</v>
      </c>
      <c r="E1112">
        <v>7</v>
      </c>
      <c r="G1112" s="2">
        <v>2.2200000000000002</v>
      </c>
      <c r="J1112" s="8">
        <f>IF(Tableau3[[#This Row],[prospet]]=0,0,Tableau3[[#This Row],[Ventes]]/Tableau3[[#This Row],[prospet]])</f>
        <v>0</v>
      </c>
      <c r="K1112">
        <v>4463888</v>
      </c>
    </row>
    <row r="1113" spans="1:11" x14ac:dyDescent="0.3">
      <c r="A1113" s="1">
        <v>46216</v>
      </c>
      <c r="B1113" t="s">
        <v>81</v>
      </c>
      <c r="C1113" t="s">
        <v>92</v>
      </c>
      <c r="D1113" t="s">
        <v>81</v>
      </c>
      <c r="E1113">
        <v>32</v>
      </c>
      <c r="G1113" s="2">
        <v>2.33</v>
      </c>
      <c r="J1113" s="8">
        <f>IF(Tableau3[[#This Row],[prospet]]=0,0,Tableau3[[#This Row],[Ventes]]/Tableau3[[#This Row],[prospet]])</f>
        <v>0</v>
      </c>
      <c r="K1113">
        <v>4559847</v>
      </c>
    </row>
    <row r="1114" spans="1:11" x14ac:dyDescent="0.3">
      <c r="A1114" s="1">
        <v>46216</v>
      </c>
      <c r="B1114" t="s">
        <v>97</v>
      </c>
      <c r="C1114" t="s">
        <v>93</v>
      </c>
      <c r="D1114" t="s">
        <v>97</v>
      </c>
      <c r="E1114">
        <v>14</v>
      </c>
      <c r="G1114" s="2">
        <v>1.56</v>
      </c>
      <c r="J1114" s="8">
        <f>IF(Tableau3[[#This Row],[prospet]]=0,0,Tableau3[[#This Row],[Ventes]]/Tableau3[[#This Row],[prospet]])</f>
        <v>0</v>
      </c>
      <c r="K1114">
        <v>4636761</v>
      </c>
    </row>
    <row r="1115" spans="1:11" x14ac:dyDescent="0.3">
      <c r="A1115" s="1">
        <v>46216</v>
      </c>
      <c r="B1115" t="s">
        <v>80</v>
      </c>
      <c r="C1115" t="s">
        <v>94</v>
      </c>
      <c r="D1115" t="s">
        <v>155</v>
      </c>
      <c r="E1115">
        <v>53</v>
      </c>
      <c r="F1115">
        <v>3</v>
      </c>
      <c r="G1115" s="2">
        <v>4.5999999999999996</v>
      </c>
      <c r="H1115">
        <f>'[1]VENTES DE MAI'!$G$638+'[1]VENTES DE MAI'!$G$629</f>
        <v>16000</v>
      </c>
      <c r="I1115">
        <f>2000+1500</f>
        <v>3500</v>
      </c>
      <c r="J1115" s="8">
        <f>IF(Tableau3[[#This Row],[prospet]]=0,0,Tableau3[[#This Row],[Ventes]]/Tableau3[[#This Row],[prospet]])</f>
        <v>5.6603773584905662E-2</v>
      </c>
      <c r="K1115">
        <v>4636772</v>
      </c>
    </row>
    <row r="1116" spans="1:11" x14ac:dyDescent="0.3">
      <c r="A1116" s="1">
        <v>46216</v>
      </c>
      <c r="B1116" t="s">
        <v>84</v>
      </c>
      <c r="C1116" t="s">
        <v>96</v>
      </c>
      <c r="D1116" t="s">
        <v>84</v>
      </c>
      <c r="E1116">
        <v>16</v>
      </c>
      <c r="F1116">
        <v>1</v>
      </c>
      <c r="G1116" s="2">
        <v>2.1800000000000002</v>
      </c>
      <c r="H1116">
        <v>8500</v>
      </c>
      <c r="I1116">
        <v>1500</v>
      </c>
      <c r="J1116" s="8">
        <f>IF(Tableau3[[#This Row],[prospet]]=0,0,Tableau3[[#This Row],[Ventes]]/Tableau3[[#This Row],[prospet]])</f>
        <v>6.25E-2</v>
      </c>
      <c r="K1116">
        <v>4587817</v>
      </c>
    </row>
    <row r="1117" spans="1:11" x14ac:dyDescent="0.3">
      <c r="A1117" s="1">
        <v>46216</v>
      </c>
      <c r="B1117" t="s">
        <v>98</v>
      </c>
      <c r="C1117" t="s">
        <v>99</v>
      </c>
      <c r="D1117" t="s">
        <v>98</v>
      </c>
      <c r="E1117">
        <v>13</v>
      </c>
      <c r="G1117" s="2">
        <v>2.13</v>
      </c>
      <c r="J1117" s="8">
        <f>IF(Tableau3[[#This Row],[prospet]]=0,0,Tableau3[[#This Row],[Ventes]]/Tableau3[[#This Row],[prospet]])</f>
        <v>0</v>
      </c>
      <c r="K1117">
        <v>3330821</v>
      </c>
    </row>
    <row r="1118" spans="1:11" x14ac:dyDescent="0.3">
      <c r="A1118" s="1">
        <v>46216</v>
      </c>
      <c r="B1118" t="s">
        <v>187</v>
      </c>
      <c r="D1118" t="s">
        <v>187</v>
      </c>
      <c r="E1118">
        <v>25</v>
      </c>
      <c r="G1118" s="2">
        <v>3.94</v>
      </c>
      <c r="J1118" s="8">
        <f>IF(Tableau3[[#This Row],[prospet]]=0,0,Tableau3[[#This Row],[Ventes]]/Tableau3[[#This Row],[prospet]])</f>
        <v>0</v>
      </c>
    </row>
    <row r="1119" spans="1:11" x14ac:dyDescent="0.3">
      <c r="A1119" s="1">
        <v>46217</v>
      </c>
      <c r="B1119" t="s">
        <v>16</v>
      </c>
      <c r="C1119" t="s">
        <v>85</v>
      </c>
      <c r="D1119" t="s">
        <v>18</v>
      </c>
      <c r="E1119">
        <v>39</v>
      </c>
      <c r="F1119">
        <v>1</v>
      </c>
      <c r="G1119" s="2">
        <v>2.62</v>
      </c>
      <c r="H1119">
        <v>8000</v>
      </c>
      <c r="I1119">
        <v>1500</v>
      </c>
      <c r="J1119" s="8">
        <f>IF(Tableau3[[#This Row],[prospet]]=0,0,Tableau3[[#This Row],[Ventes]]/Tableau3[[#This Row],[prospet]])</f>
        <v>2.564102564102564E-2</v>
      </c>
      <c r="K1119">
        <v>4316190</v>
      </c>
    </row>
    <row r="1120" spans="1:11" x14ac:dyDescent="0.3">
      <c r="A1120" s="1">
        <v>46217</v>
      </c>
      <c r="B1120" t="s">
        <v>9</v>
      </c>
      <c r="C1120" t="s">
        <v>86</v>
      </c>
      <c r="D1120" t="s">
        <v>13</v>
      </c>
      <c r="E1120">
        <v>16</v>
      </c>
      <c r="F1120">
        <v>2</v>
      </c>
      <c r="G1120" s="2">
        <v>2.2000000000000002</v>
      </c>
      <c r="H1120">
        <v>18000</v>
      </c>
      <c r="I1120">
        <v>3000</v>
      </c>
      <c r="J1120" s="8">
        <f>IF(Tableau3[[#This Row],[prospet]]=0,0,Tableau3[[#This Row],[Ventes]]/Tableau3[[#This Row],[prospet]])</f>
        <v>0.125</v>
      </c>
      <c r="K1120">
        <v>4554529</v>
      </c>
    </row>
    <row r="1121" spans="1:11" x14ac:dyDescent="0.3">
      <c r="A1121" s="1">
        <v>46217</v>
      </c>
      <c r="B1121" t="s">
        <v>43</v>
      </c>
      <c r="C1121" t="s">
        <v>11</v>
      </c>
      <c r="D1121" t="s">
        <v>43</v>
      </c>
      <c r="E1121">
        <v>38</v>
      </c>
      <c r="F1121">
        <v>4</v>
      </c>
      <c r="G1121" s="2">
        <v>2.73</v>
      </c>
      <c r="H1121">
        <f>12000+17500+12500</f>
        <v>42000</v>
      </c>
      <c r="I1121">
        <v>5000</v>
      </c>
      <c r="J1121" s="8">
        <f>IF(Tableau3[[#This Row],[prospet]]=0,0,Tableau3[[#This Row],[Ventes]]/Tableau3[[#This Row],[prospet]])</f>
        <v>0.10526315789473684</v>
      </c>
      <c r="K1121">
        <v>4348553</v>
      </c>
    </row>
    <row r="1122" spans="1:11" x14ac:dyDescent="0.3">
      <c r="A1122" s="1">
        <v>46217</v>
      </c>
      <c r="B1122" t="s">
        <v>30</v>
      </c>
      <c r="C1122" t="s">
        <v>88</v>
      </c>
      <c r="D1122" t="s">
        <v>30</v>
      </c>
      <c r="E1122">
        <v>20</v>
      </c>
      <c r="F1122">
        <v>1</v>
      </c>
      <c r="G1122" s="2">
        <v>2.25</v>
      </c>
      <c r="H1122">
        <v>12500</v>
      </c>
      <c r="I1122">
        <v>1500</v>
      </c>
      <c r="J1122" s="8">
        <f>IF(Tableau3[[#This Row],[prospet]]=0,0,Tableau3[[#This Row],[Ventes]]/Tableau3[[#This Row],[prospet]])</f>
        <v>0.05</v>
      </c>
      <c r="K1122">
        <v>4586158</v>
      </c>
    </row>
    <row r="1123" spans="1:11" x14ac:dyDescent="0.3">
      <c r="A1123" s="1">
        <v>46217</v>
      </c>
      <c r="B1123" t="s">
        <v>3</v>
      </c>
      <c r="C1123" t="s">
        <v>89</v>
      </c>
      <c r="D1123" t="s">
        <v>3</v>
      </c>
      <c r="E1123">
        <v>3</v>
      </c>
      <c r="G1123" s="2">
        <v>1.1499999999999999</v>
      </c>
      <c r="J1123" s="8">
        <f>IF(Tableau3[[#This Row],[prospet]]=0,0,Tableau3[[#This Row],[Ventes]]/Tableau3[[#This Row],[prospet]])</f>
        <v>0</v>
      </c>
      <c r="K1123">
        <v>4561858</v>
      </c>
    </row>
    <row r="1124" spans="1:11" x14ac:dyDescent="0.3">
      <c r="A1124" s="1">
        <v>46217</v>
      </c>
      <c r="B1124" t="s">
        <v>62</v>
      </c>
      <c r="C1124" t="s">
        <v>90</v>
      </c>
      <c r="D1124" t="s">
        <v>62</v>
      </c>
      <c r="J1124" s="8">
        <f>IF(Tableau3[[#This Row],[prospet]]=0,0,Tableau3[[#This Row],[Ventes]]/Tableau3[[#This Row],[prospet]])</f>
        <v>0</v>
      </c>
      <c r="K1124">
        <v>4221767</v>
      </c>
    </row>
    <row r="1125" spans="1:11" x14ac:dyDescent="0.3">
      <c r="A1125" s="1">
        <v>46217</v>
      </c>
      <c r="B1125" t="s">
        <v>63</v>
      </c>
      <c r="C1125" t="s">
        <v>91</v>
      </c>
      <c r="D1125" t="s">
        <v>154</v>
      </c>
      <c r="E1125">
        <v>58</v>
      </c>
      <c r="G1125" s="2">
        <v>2.23</v>
      </c>
      <c r="J1125" s="8">
        <f>IF(Tableau3[[#This Row],[prospet]]=0,0,Tableau3[[#This Row],[Ventes]]/Tableau3[[#This Row],[prospet]])</f>
        <v>0</v>
      </c>
      <c r="K1125">
        <v>4463888</v>
      </c>
    </row>
    <row r="1126" spans="1:11" x14ac:dyDescent="0.3">
      <c r="A1126" s="1">
        <v>46217</v>
      </c>
      <c r="B1126" t="s">
        <v>81</v>
      </c>
      <c r="C1126" t="s">
        <v>92</v>
      </c>
      <c r="D1126" t="s">
        <v>81</v>
      </c>
      <c r="E1126">
        <v>27</v>
      </c>
      <c r="G1126" s="2">
        <v>2.13</v>
      </c>
      <c r="J1126" s="8">
        <f>IF(Tableau3[[#This Row],[prospet]]=0,0,Tableau3[[#This Row],[Ventes]]/Tableau3[[#This Row],[prospet]])</f>
        <v>0</v>
      </c>
      <c r="K1126">
        <v>4559847</v>
      </c>
    </row>
    <row r="1127" spans="1:11" x14ac:dyDescent="0.3">
      <c r="A1127" s="1">
        <v>46217</v>
      </c>
      <c r="B1127" t="s">
        <v>80</v>
      </c>
      <c r="C1127" t="s">
        <v>94</v>
      </c>
      <c r="D1127" t="s">
        <v>155</v>
      </c>
      <c r="E1127">
        <v>12</v>
      </c>
      <c r="F1127">
        <v>1</v>
      </c>
      <c r="G1127" s="2">
        <v>1.82</v>
      </c>
      <c r="H1127">
        <v>4000</v>
      </c>
      <c r="I1127">
        <v>1000</v>
      </c>
      <c r="J1127" s="8">
        <f>IF(Tableau3[[#This Row],[prospet]]=0,0,Tableau3[[#This Row],[Ventes]]/Tableau3[[#This Row],[prospet]])</f>
        <v>8.3333333333333329E-2</v>
      </c>
      <c r="K1127">
        <v>4636772</v>
      </c>
    </row>
    <row r="1128" spans="1:11" x14ac:dyDescent="0.3">
      <c r="A1128" s="1">
        <v>46217</v>
      </c>
      <c r="B1128" t="s">
        <v>83</v>
      </c>
      <c r="C1128" t="s">
        <v>95</v>
      </c>
      <c r="D1128" t="s">
        <v>83</v>
      </c>
      <c r="J1128" s="8">
        <f>IF(Tableau3[[#This Row],[prospet]]=0,0,Tableau3[[#This Row],[Ventes]]/Tableau3[[#This Row],[prospet]])</f>
        <v>0</v>
      </c>
      <c r="K1128">
        <v>3947053</v>
      </c>
    </row>
    <row r="1129" spans="1:11" x14ac:dyDescent="0.3">
      <c r="A1129" s="1">
        <v>46217</v>
      </c>
      <c r="B1129" t="s">
        <v>84</v>
      </c>
      <c r="C1129" t="s">
        <v>96</v>
      </c>
      <c r="D1129" t="s">
        <v>84</v>
      </c>
      <c r="E1129">
        <v>21</v>
      </c>
      <c r="F1129">
        <v>1</v>
      </c>
      <c r="G1129" s="2">
        <v>2.31</v>
      </c>
      <c r="H1129">
        <v>4000</v>
      </c>
      <c r="I1129">
        <v>1000</v>
      </c>
      <c r="J1129" s="8">
        <f>IF(Tableau3[[#This Row],[prospet]]=0,0,Tableau3[[#This Row],[Ventes]]/Tableau3[[#This Row],[prospet]])</f>
        <v>4.7619047619047616E-2</v>
      </c>
      <c r="K1129">
        <v>4587817</v>
      </c>
    </row>
    <row r="1130" spans="1:11" x14ac:dyDescent="0.3">
      <c r="A1130" s="1">
        <v>46217</v>
      </c>
      <c r="B1130" t="s">
        <v>98</v>
      </c>
      <c r="C1130" t="s">
        <v>99</v>
      </c>
      <c r="D1130" t="s">
        <v>98</v>
      </c>
      <c r="E1130">
        <v>55</v>
      </c>
      <c r="F1130">
        <v>2</v>
      </c>
      <c r="G1130" s="2">
        <v>2.1800000000000002</v>
      </c>
      <c r="H1130">
        <v>25000</v>
      </c>
      <c r="I1130">
        <v>3000</v>
      </c>
      <c r="J1130" s="8">
        <f>IF(Tableau3[[#This Row],[prospet]]=0,0,Tableau3[[#This Row],[Ventes]]/Tableau3[[#This Row],[prospet]])</f>
        <v>3.6363636363636362E-2</v>
      </c>
      <c r="K1130">
        <v>3330821</v>
      </c>
    </row>
    <row r="1131" spans="1:11" x14ac:dyDescent="0.3">
      <c r="A1131" s="1">
        <v>46217</v>
      </c>
      <c r="B1131" t="s">
        <v>204</v>
      </c>
      <c r="D1131" t="s">
        <v>205</v>
      </c>
      <c r="E1131">
        <v>18</v>
      </c>
      <c r="G1131" s="2">
        <v>1.44</v>
      </c>
      <c r="J1131" s="8">
        <f>F1131/E1131*100</f>
        <v>0</v>
      </c>
    </row>
    <row r="1132" spans="1:11" x14ac:dyDescent="0.3">
      <c r="A1132" s="1">
        <v>46217</v>
      </c>
      <c r="B1132" t="s">
        <v>187</v>
      </c>
      <c r="D1132" t="s">
        <v>187</v>
      </c>
      <c r="E1132">
        <v>32</v>
      </c>
      <c r="G1132" s="2">
        <v>1.87</v>
      </c>
      <c r="J1132" s="8">
        <f>IF(Tableau3[[#This Row],[prospet]]=0,0,Tableau3[[#This Row],[Ventes]]/Tableau3[[#This Row],[prospet]])</f>
        <v>0</v>
      </c>
    </row>
    <row r="1133" spans="1:11" x14ac:dyDescent="0.3">
      <c r="A1133" s="1">
        <v>46218</v>
      </c>
      <c r="B1133" t="s">
        <v>16</v>
      </c>
      <c r="C1133" t="s">
        <v>85</v>
      </c>
      <c r="D1133" t="s">
        <v>18</v>
      </c>
      <c r="E1133">
        <v>21</v>
      </c>
      <c r="F1133">
        <v>6</v>
      </c>
      <c r="G1133" s="2">
        <v>1.83</v>
      </c>
      <c r="H1133">
        <v>51000</v>
      </c>
      <c r="I1133">
        <v>2000</v>
      </c>
      <c r="J1133" s="8">
        <f>IF(Tableau3[[#This Row],[prospet]]=0,0,Tableau3[[#This Row],[Ventes]]/Tableau3[[#This Row],[prospet]])</f>
        <v>0.2857142857142857</v>
      </c>
      <c r="K1133">
        <v>4316190</v>
      </c>
    </row>
    <row r="1134" spans="1:11" x14ac:dyDescent="0.3">
      <c r="A1134" s="1">
        <v>46218</v>
      </c>
      <c r="B1134" t="s">
        <v>9</v>
      </c>
      <c r="C1134" t="s">
        <v>86</v>
      </c>
      <c r="D1134" t="s">
        <v>13</v>
      </c>
      <c r="E1134">
        <v>15</v>
      </c>
      <c r="F1134">
        <v>4</v>
      </c>
      <c r="G1134" s="2">
        <v>1.71</v>
      </c>
      <c r="H1134">
        <v>54500</v>
      </c>
      <c r="I1134">
        <v>1500</v>
      </c>
      <c r="J1134" s="8">
        <f>IF(Tableau3[[#This Row],[prospet]]=0,0,Tableau3[[#This Row],[Ventes]]/Tableau3[[#This Row],[prospet]])</f>
        <v>0.26666666666666666</v>
      </c>
      <c r="K1134">
        <v>4554529</v>
      </c>
    </row>
    <row r="1135" spans="1:11" x14ac:dyDescent="0.3">
      <c r="A1135" s="1">
        <v>46218</v>
      </c>
      <c r="B1135" t="s">
        <v>43</v>
      </c>
      <c r="C1135" t="s">
        <v>11</v>
      </c>
      <c r="D1135" t="s">
        <v>43</v>
      </c>
      <c r="E1135">
        <v>46</v>
      </c>
      <c r="F1135">
        <v>1</v>
      </c>
      <c r="G1135" s="2">
        <v>2.2799999999999998</v>
      </c>
      <c r="H1135">
        <v>17500</v>
      </c>
      <c r="J1135" s="8">
        <f>IF(Tableau3[[#This Row],[prospet]]=0,0,Tableau3[[#This Row],[Ventes]]/Tableau3[[#This Row],[prospet]])</f>
        <v>2.1739130434782608E-2</v>
      </c>
      <c r="K1135">
        <v>4348553</v>
      </c>
    </row>
    <row r="1136" spans="1:11" x14ac:dyDescent="0.3">
      <c r="A1136" s="1">
        <v>46218</v>
      </c>
      <c r="B1136" t="s">
        <v>30</v>
      </c>
      <c r="C1136" t="s">
        <v>88</v>
      </c>
      <c r="D1136" t="s">
        <v>30</v>
      </c>
      <c r="E1136">
        <v>21</v>
      </c>
      <c r="G1136" s="2">
        <v>1.85</v>
      </c>
      <c r="J1136" s="8">
        <f>IF(Tableau3[[#This Row],[prospet]]=0,0,Tableau3[[#This Row],[Ventes]]/Tableau3[[#This Row],[prospet]])</f>
        <v>0</v>
      </c>
      <c r="K1136">
        <v>4586158</v>
      </c>
    </row>
    <row r="1137" spans="1:11" x14ac:dyDescent="0.3">
      <c r="A1137" s="1">
        <v>46218</v>
      </c>
      <c r="B1137" t="s">
        <v>3</v>
      </c>
      <c r="C1137" t="s">
        <v>89</v>
      </c>
      <c r="D1137" t="s">
        <v>3</v>
      </c>
      <c r="F1137">
        <v>1</v>
      </c>
      <c r="H1137">
        <v>11500</v>
      </c>
      <c r="J1137" s="8">
        <f>IF(Tableau3[[#This Row],[prospet]]=0,0,Tableau3[[#This Row],[Ventes]]/Tableau3[[#This Row],[prospet]])</f>
        <v>0</v>
      </c>
      <c r="K1137">
        <v>4561858</v>
      </c>
    </row>
    <row r="1138" spans="1:11" x14ac:dyDescent="0.3">
      <c r="A1138" s="1">
        <v>46218</v>
      </c>
      <c r="B1138" t="s">
        <v>62</v>
      </c>
      <c r="C1138" t="s">
        <v>90</v>
      </c>
      <c r="D1138" t="s">
        <v>62</v>
      </c>
      <c r="E1138">
        <v>8</v>
      </c>
      <c r="F1138">
        <v>3</v>
      </c>
      <c r="G1138" s="2">
        <v>1.63</v>
      </c>
      <c r="H1138">
        <v>28000</v>
      </c>
      <c r="I1138">
        <v>3000</v>
      </c>
      <c r="J1138" s="8">
        <f>IF(Tableau3[[#This Row],[prospet]]=0,0,Tableau3[[#This Row],[Ventes]]/Tableau3[[#This Row],[prospet]])</f>
        <v>0.375</v>
      </c>
      <c r="K1138">
        <v>4221767</v>
      </c>
    </row>
    <row r="1139" spans="1:11" x14ac:dyDescent="0.3">
      <c r="A1139" s="1">
        <v>46218</v>
      </c>
      <c r="B1139" t="s">
        <v>63</v>
      </c>
      <c r="C1139" t="s">
        <v>91</v>
      </c>
      <c r="D1139" t="s">
        <v>154</v>
      </c>
      <c r="E1139">
        <v>27</v>
      </c>
      <c r="F1139">
        <v>1</v>
      </c>
      <c r="G1139" s="2">
        <v>1.5</v>
      </c>
      <c r="H1139">
        <v>7500</v>
      </c>
      <c r="J1139" s="8">
        <f>IF(Tableau3[[#This Row],[prospet]]=0,0,Tableau3[[#This Row],[Ventes]]/Tableau3[[#This Row],[prospet]])</f>
        <v>3.7037037037037035E-2</v>
      </c>
      <c r="K1139">
        <v>4463888</v>
      </c>
    </row>
    <row r="1140" spans="1:11" x14ac:dyDescent="0.3">
      <c r="A1140" s="1">
        <v>46218</v>
      </c>
      <c r="B1140" t="s">
        <v>81</v>
      </c>
      <c r="C1140" t="s">
        <v>92</v>
      </c>
      <c r="D1140" t="s">
        <v>81</v>
      </c>
      <c r="E1140">
        <v>8</v>
      </c>
      <c r="G1140" s="2">
        <v>1.42</v>
      </c>
      <c r="J1140" s="8">
        <f>IF(Tableau3[[#This Row],[prospet]]=0,0,Tableau3[[#This Row],[Ventes]]/Tableau3[[#This Row],[prospet]])</f>
        <v>0</v>
      </c>
      <c r="K1140">
        <v>4559847</v>
      </c>
    </row>
    <row r="1141" spans="1:11" x14ac:dyDescent="0.3">
      <c r="A1141" s="1">
        <v>46218</v>
      </c>
      <c r="B1141" t="s">
        <v>80</v>
      </c>
      <c r="C1141" t="s">
        <v>94</v>
      </c>
      <c r="D1141" t="s">
        <v>155</v>
      </c>
      <c r="E1141">
        <v>21</v>
      </c>
      <c r="F1141">
        <v>3</v>
      </c>
      <c r="G1141" s="2">
        <v>1.77</v>
      </c>
      <c r="H1141">
        <v>37500</v>
      </c>
      <c r="I1141">
        <v>6500</v>
      </c>
      <c r="J1141" s="8">
        <f>IF(Tableau3[[#This Row],[prospet]]=0,0,Tableau3[[#This Row],[Ventes]]/Tableau3[[#This Row],[prospet]])</f>
        <v>0.14285714285714285</v>
      </c>
      <c r="K1141">
        <v>4636772</v>
      </c>
    </row>
    <row r="1142" spans="1:11" x14ac:dyDescent="0.3">
      <c r="A1142" s="1">
        <v>46218</v>
      </c>
      <c r="B1142" t="s">
        <v>83</v>
      </c>
      <c r="C1142" t="s">
        <v>95</v>
      </c>
      <c r="D1142" t="s">
        <v>83</v>
      </c>
      <c r="J1142" s="8">
        <f>IF(Tableau3[[#This Row],[prospet]]=0,0,Tableau3[[#This Row],[Ventes]]/Tableau3[[#This Row],[prospet]])</f>
        <v>0</v>
      </c>
      <c r="K1142">
        <v>3947053</v>
      </c>
    </row>
    <row r="1143" spans="1:11" x14ac:dyDescent="0.3">
      <c r="A1143" s="1">
        <v>46218</v>
      </c>
      <c r="B1143" t="s">
        <v>84</v>
      </c>
      <c r="C1143" t="s">
        <v>96</v>
      </c>
      <c r="D1143" t="s">
        <v>84</v>
      </c>
      <c r="E1143">
        <v>17</v>
      </c>
      <c r="G1143" s="2">
        <v>1.71</v>
      </c>
      <c r="J1143" s="8">
        <f>IF(Tableau3[[#This Row],[prospet]]=0,0,Tableau3[[#This Row],[Ventes]]/Tableau3[[#This Row],[prospet]])</f>
        <v>0</v>
      </c>
      <c r="K1143">
        <v>4587817</v>
      </c>
    </row>
    <row r="1144" spans="1:11" x14ac:dyDescent="0.3">
      <c r="A1144" s="1">
        <v>46218</v>
      </c>
      <c r="B1144" t="s">
        <v>204</v>
      </c>
      <c r="D1144" t="s">
        <v>205</v>
      </c>
      <c r="E1144">
        <v>0</v>
      </c>
      <c r="F1144">
        <v>4</v>
      </c>
      <c r="H1144">
        <v>42500</v>
      </c>
      <c r="I1144">
        <v>1500</v>
      </c>
      <c r="J1144" s="8">
        <f>IF(Tableau3[[#This Row],[prospet]]=0,0,Tableau3[[#This Row],[Ventes]]/Tableau3[[#This Row],[prospet]])</f>
        <v>0</v>
      </c>
    </row>
    <row r="1145" spans="1:11" x14ac:dyDescent="0.3">
      <c r="A1145" s="1">
        <v>46218</v>
      </c>
      <c r="B1145" t="s">
        <v>98</v>
      </c>
      <c r="C1145" t="s">
        <v>99</v>
      </c>
      <c r="D1145" t="s">
        <v>98</v>
      </c>
      <c r="E1145">
        <v>13</v>
      </c>
      <c r="G1145" s="2">
        <v>1.03</v>
      </c>
      <c r="J1145" s="8">
        <f>IF(Tableau3[[#This Row],[prospet]]=0,0,Tableau3[[#This Row],[Ventes]]/Tableau3[[#This Row],[prospet]])</f>
        <v>0</v>
      </c>
      <c r="K1145">
        <v>3330821</v>
      </c>
    </row>
    <row r="1146" spans="1:11" x14ac:dyDescent="0.3">
      <c r="A1146" s="1">
        <v>46218</v>
      </c>
      <c r="B1146" t="s">
        <v>187</v>
      </c>
      <c r="D1146" t="s">
        <v>187</v>
      </c>
      <c r="E1146">
        <v>26</v>
      </c>
      <c r="F1146">
        <v>1</v>
      </c>
      <c r="G1146" s="2">
        <v>1.59</v>
      </c>
      <c r="H1146">
        <v>7500</v>
      </c>
      <c r="J1146" s="8">
        <f>IF(Tableau3[[#This Row],[prospet]]=0,0,Tableau3[[#This Row],[Ventes]]/Tableau3[[#This Row],[prospet]])</f>
        <v>3.8461538461538464E-2</v>
      </c>
    </row>
    <row r="1147" spans="1:11" x14ac:dyDescent="0.3">
      <c r="A1147" s="1">
        <v>46219</v>
      </c>
      <c r="B1147" t="s">
        <v>16</v>
      </c>
      <c r="C1147" t="s">
        <v>85</v>
      </c>
      <c r="D1147" t="s">
        <v>18</v>
      </c>
      <c r="E1147">
        <v>30</v>
      </c>
      <c r="G1147" s="2">
        <v>1.9</v>
      </c>
      <c r="J1147" s="8">
        <f>IF(Tableau3[[#This Row],[prospet]]=0,0,Tableau3[[#This Row],[Ventes]]/Tableau3[[#This Row],[prospet]])</f>
        <v>0</v>
      </c>
      <c r="K1147">
        <v>4316190</v>
      </c>
    </row>
    <row r="1148" spans="1:11" x14ac:dyDescent="0.3">
      <c r="A1148" s="1">
        <v>46219</v>
      </c>
      <c r="B1148" t="s">
        <v>9</v>
      </c>
      <c r="C1148" t="s">
        <v>86</v>
      </c>
      <c r="D1148" t="s">
        <v>13</v>
      </c>
      <c r="E1148">
        <v>7</v>
      </c>
      <c r="G1148" s="2">
        <v>1.17</v>
      </c>
      <c r="J1148" s="8">
        <f>IF(Tableau3[[#This Row],[prospet]]=0,0,Tableau3[[#This Row],[Ventes]]/Tableau3[[#This Row],[prospet]])</f>
        <v>0</v>
      </c>
      <c r="K1148">
        <v>4554529</v>
      </c>
    </row>
    <row r="1149" spans="1:11" x14ac:dyDescent="0.3">
      <c r="A1149" s="1">
        <v>46219</v>
      </c>
      <c r="B1149" t="s">
        <v>43</v>
      </c>
      <c r="C1149" t="s">
        <v>11</v>
      </c>
      <c r="D1149" t="s">
        <v>43</v>
      </c>
      <c r="E1149">
        <v>17</v>
      </c>
      <c r="G1149" s="2">
        <v>1.1100000000000001</v>
      </c>
      <c r="J1149" s="8">
        <f>IF(Tableau3[[#This Row],[prospet]]=0,0,Tableau3[[#This Row],[Ventes]]/Tableau3[[#This Row],[prospet]])</f>
        <v>0</v>
      </c>
      <c r="K1149">
        <v>4348553</v>
      </c>
    </row>
    <row r="1150" spans="1:11" x14ac:dyDescent="0.3">
      <c r="A1150" s="1">
        <v>46219</v>
      </c>
      <c r="B1150" t="s">
        <v>30</v>
      </c>
      <c r="C1150" t="s">
        <v>88</v>
      </c>
      <c r="D1150" t="s">
        <v>30</v>
      </c>
      <c r="E1150">
        <v>19</v>
      </c>
      <c r="F1150">
        <v>1</v>
      </c>
      <c r="G1150" s="2">
        <v>1.95</v>
      </c>
      <c r="H1150">
        <v>20000</v>
      </c>
      <c r="J1150" s="8">
        <f>IF(Tableau3[[#This Row],[prospet]]=0,0,Tableau3[[#This Row],[Ventes]]/Tableau3[[#This Row],[prospet]])</f>
        <v>5.2631578947368418E-2</v>
      </c>
      <c r="K1150">
        <v>4586158</v>
      </c>
    </row>
    <row r="1151" spans="1:11" x14ac:dyDescent="0.3">
      <c r="A1151" s="1">
        <v>46219</v>
      </c>
      <c r="B1151" t="s">
        <v>3</v>
      </c>
      <c r="C1151" t="s">
        <v>89</v>
      </c>
      <c r="D1151" t="s">
        <v>3</v>
      </c>
      <c r="E1151">
        <v>13</v>
      </c>
      <c r="F1151">
        <v>1</v>
      </c>
      <c r="G1151" s="2">
        <v>1.68</v>
      </c>
      <c r="H1151">
        <v>4000</v>
      </c>
      <c r="I1151">
        <v>1000</v>
      </c>
      <c r="J1151" s="8">
        <f>IF(Tableau3[[#This Row],[prospet]]=0,0,Tableau3[[#This Row],[Ventes]]/Tableau3[[#This Row],[prospet]])</f>
        <v>7.6923076923076927E-2</v>
      </c>
      <c r="K1151">
        <v>4561858</v>
      </c>
    </row>
    <row r="1152" spans="1:11" x14ac:dyDescent="0.3">
      <c r="A1152" s="1">
        <v>46219</v>
      </c>
      <c r="B1152" t="s">
        <v>62</v>
      </c>
      <c r="C1152" t="s">
        <v>90</v>
      </c>
      <c r="D1152" t="s">
        <v>62</v>
      </c>
      <c r="J1152" s="8">
        <f>IF(Tableau3[[#This Row],[prospet]]=0,0,Tableau3[[#This Row],[Ventes]]/Tableau3[[#This Row],[prospet]])</f>
        <v>0</v>
      </c>
      <c r="K1152">
        <v>4221767</v>
      </c>
    </row>
    <row r="1153" spans="1:11" x14ac:dyDescent="0.3">
      <c r="A1153" s="1">
        <v>46219</v>
      </c>
      <c r="B1153" t="s">
        <v>63</v>
      </c>
      <c r="C1153" t="s">
        <v>91</v>
      </c>
      <c r="D1153" t="s">
        <v>154</v>
      </c>
      <c r="E1153">
        <v>25</v>
      </c>
      <c r="G1153" s="2">
        <v>1.2</v>
      </c>
      <c r="J1153" s="8">
        <f>IF(Tableau3[[#This Row],[prospet]]=0,0,Tableau3[[#This Row],[Ventes]]/Tableau3[[#This Row],[prospet]])</f>
        <v>0</v>
      </c>
      <c r="K1153">
        <v>4463888</v>
      </c>
    </row>
    <row r="1154" spans="1:11" x14ac:dyDescent="0.3">
      <c r="A1154" s="1">
        <v>46219</v>
      </c>
      <c r="B1154" t="s">
        <v>81</v>
      </c>
      <c r="C1154" t="s">
        <v>92</v>
      </c>
      <c r="D1154" t="s">
        <v>81</v>
      </c>
      <c r="E1154">
        <v>3</v>
      </c>
      <c r="F1154">
        <v>1</v>
      </c>
      <c r="G1154" s="2">
        <v>0.67</v>
      </c>
      <c r="H1154">
        <v>12500</v>
      </c>
      <c r="I1154">
        <v>1500</v>
      </c>
      <c r="J1154" s="8">
        <f>IF(Tableau3[[#This Row],[prospet]]=0,0,Tableau3[[#This Row],[Ventes]]/Tableau3[[#This Row],[prospet]])</f>
        <v>0.33333333333333331</v>
      </c>
      <c r="K1154">
        <v>4559847</v>
      </c>
    </row>
    <row r="1155" spans="1:11" x14ac:dyDescent="0.3">
      <c r="A1155" s="1">
        <v>46219</v>
      </c>
      <c r="B1155" t="s">
        <v>80</v>
      </c>
      <c r="C1155" t="s">
        <v>94</v>
      </c>
      <c r="D1155" t="s">
        <v>155</v>
      </c>
      <c r="E1155">
        <v>40</v>
      </c>
      <c r="F1155">
        <v>3</v>
      </c>
      <c r="G1155" s="2">
        <v>2.34</v>
      </c>
      <c r="H1155">
        <f>12500+7500+12500</f>
        <v>32500</v>
      </c>
      <c r="I1155">
        <f>1500+1500+1500</f>
        <v>4500</v>
      </c>
      <c r="J1155" s="8">
        <f>IF(Tableau3[[#This Row],[prospet]]=0,0,Tableau3[[#This Row],[Ventes]]/Tableau3[[#This Row],[prospet]])</f>
        <v>7.4999999999999997E-2</v>
      </c>
      <c r="K1155">
        <v>4636772</v>
      </c>
    </row>
    <row r="1156" spans="1:11" x14ac:dyDescent="0.3">
      <c r="A1156" s="1">
        <v>46219</v>
      </c>
      <c r="B1156" t="s">
        <v>84</v>
      </c>
      <c r="C1156" t="s">
        <v>96</v>
      </c>
      <c r="D1156" t="s">
        <v>84</v>
      </c>
      <c r="E1156">
        <v>9</v>
      </c>
      <c r="G1156" s="2">
        <v>1.42</v>
      </c>
      <c r="J1156" s="8">
        <f>IF(Tableau3[[#This Row],[prospet]]=0,0,Tableau3[[#This Row],[Ventes]]/Tableau3[[#This Row],[prospet]])</f>
        <v>0</v>
      </c>
      <c r="K1156">
        <v>4587817</v>
      </c>
    </row>
    <row r="1157" spans="1:11" x14ac:dyDescent="0.3">
      <c r="A1157" s="1">
        <v>46219</v>
      </c>
      <c r="B1157" t="s">
        <v>204</v>
      </c>
      <c r="D1157" t="s">
        <v>205</v>
      </c>
      <c r="E1157">
        <v>11</v>
      </c>
      <c r="G1157" s="2">
        <v>1.28</v>
      </c>
      <c r="J1157" s="8">
        <f>IF(Tableau3[[#This Row],[prospet]]=0,0,Tableau3[[#This Row],[Ventes]]/Tableau3[[#This Row],[prospet]])</f>
        <v>0</v>
      </c>
    </row>
    <row r="1158" spans="1:11" x14ac:dyDescent="0.3">
      <c r="A1158" s="1">
        <v>46219</v>
      </c>
      <c r="B1158" t="s">
        <v>98</v>
      </c>
      <c r="C1158" t="s">
        <v>99</v>
      </c>
      <c r="D1158" t="s">
        <v>98</v>
      </c>
      <c r="E1158">
        <v>14</v>
      </c>
      <c r="G1158" s="2">
        <v>1.81</v>
      </c>
      <c r="J1158" s="8">
        <f>IF(Tableau3[[#This Row],[prospet]]=0,0,Tableau3[[#This Row],[Ventes]]/Tableau3[[#This Row],[prospet]])</f>
        <v>0</v>
      </c>
      <c r="K1158">
        <v>3330821</v>
      </c>
    </row>
    <row r="1159" spans="1:11" x14ac:dyDescent="0.3">
      <c r="A1159" s="1">
        <v>46219</v>
      </c>
      <c r="B1159" t="s">
        <v>187</v>
      </c>
      <c r="D1159" t="s">
        <v>187</v>
      </c>
      <c r="E1159">
        <v>31</v>
      </c>
      <c r="G1159" s="2">
        <v>2.25</v>
      </c>
      <c r="J1159" s="8">
        <f>IF(Tableau3[[#This Row],[prospet]]=0,0,Tableau3[[#This Row],[Ventes]]/Tableau3[[#This Row],[prospet]])</f>
        <v>0</v>
      </c>
    </row>
    <row r="1160" spans="1:11" x14ac:dyDescent="0.3">
      <c r="A1160" s="1">
        <v>46220</v>
      </c>
      <c r="B1160" t="s">
        <v>16</v>
      </c>
      <c r="C1160" t="s">
        <v>85</v>
      </c>
      <c r="D1160" t="s">
        <v>18</v>
      </c>
      <c r="E1160">
        <v>21</v>
      </c>
      <c r="F1160">
        <v>2</v>
      </c>
      <c r="G1160" s="2">
        <v>1.87</v>
      </c>
      <c r="H1160">
        <f>12000+7500</f>
        <v>19500</v>
      </c>
      <c r="I1160">
        <f>1000+1000</f>
        <v>2000</v>
      </c>
      <c r="J1160" s="8">
        <f>IF(Tableau3[[#This Row],[prospet]]=0,0,Tableau3[[#This Row],[Ventes]]/Tableau3[[#This Row],[prospet]])</f>
        <v>9.5238095238095233E-2</v>
      </c>
      <c r="K1160">
        <v>4316190</v>
      </c>
    </row>
    <row r="1161" spans="1:11" x14ac:dyDescent="0.3">
      <c r="A1161" s="1">
        <v>46220</v>
      </c>
      <c r="B1161" t="s">
        <v>9</v>
      </c>
      <c r="C1161" t="s">
        <v>86</v>
      </c>
      <c r="D1161" t="s">
        <v>13</v>
      </c>
      <c r="E1161">
        <v>28</v>
      </c>
      <c r="G1161" s="2">
        <v>2.46</v>
      </c>
      <c r="J1161" s="8">
        <f>IF(Tableau3[[#This Row],[prospet]]=0,0,Tableau3[[#This Row],[Ventes]]/Tableau3[[#This Row],[prospet]])</f>
        <v>0</v>
      </c>
      <c r="K1161">
        <v>4554529</v>
      </c>
    </row>
    <row r="1162" spans="1:11" x14ac:dyDescent="0.3">
      <c r="A1162" s="1">
        <v>46220</v>
      </c>
      <c r="B1162" t="s">
        <v>43</v>
      </c>
      <c r="C1162" t="s">
        <v>11</v>
      </c>
      <c r="D1162" t="s">
        <v>43</v>
      </c>
      <c r="E1162">
        <v>31</v>
      </c>
      <c r="F1162">
        <v>1</v>
      </c>
      <c r="G1162" s="2">
        <v>1.95</v>
      </c>
      <c r="H1162">
        <v>12500</v>
      </c>
      <c r="I1162">
        <v>1500</v>
      </c>
      <c r="J1162" s="8">
        <f>IF(Tableau3[[#This Row],[prospet]]=0,0,Tableau3[[#This Row],[Ventes]]/Tableau3[[#This Row],[prospet]])</f>
        <v>3.2258064516129031E-2</v>
      </c>
      <c r="K1162">
        <v>4348553</v>
      </c>
    </row>
    <row r="1163" spans="1:11" x14ac:dyDescent="0.3">
      <c r="A1163" s="1">
        <v>46220</v>
      </c>
      <c r="B1163" t="s">
        <v>30</v>
      </c>
      <c r="C1163" t="s">
        <v>88</v>
      </c>
      <c r="D1163" t="s">
        <v>30</v>
      </c>
      <c r="E1163">
        <v>21</v>
      </c>
      <c r="G1163" s="2">
        <v>2.2599999999999998</v>
      </c>
      <c r="J1163" s="8">
        <f>IF(Tableau3[[#This Row],[prospet]]=0,0,Tableau3[[#This Row],[Ventes]]/Tableau3[[#This Row],[prospet]])</f>
        <v>0</v>
      </c>
      <c r="K1163">
        <v>4586158</v>
      </c>
    </row>
    <row r="1164" spans="1:11" x14ac:dyDescent="0.3">
      <c r="A1164" s="1">
        <v>46220</v>
      </c>
      <c r="B1164" t="s">
        <v>3</v>
      </c>
      <c r="C1164" t="s">
        <v>89</v>
      </c>
      <c r="D1164" t="s">
        <v>3</v>
      </c>
      <c r="E1164">
        <v>15</v>
      </c>
      <c r="F1164">
        <v>1</v>
      </c>
      <c r="G1164" s="2">
        <v>2.34</v>
      </c>
      <c r="H1164">
        <v>4000</v>
      </c>
      <c r="I1164">
        <v>1000</v>
      </c>
      <c r="J1164" s="8">
        <f>IF(Tableau3[[#This Row],[prospet]]=0,0,Tableau3[[#This Row],[Ventes]]/Tableau3[[#This Row],[prospet]])</f>
        <v>6.6666666666666666E-2</v>
      </c>
      <c r="K1164">
        <v>4561858</v>
      </c>
    </row>
    <row r="1165" spans="1:11" x14ac:dyDescent="0.3">
      <c r="A1165" s="1">
        <v>46220</v>
      </c>
      <c r="B1165" t="s">
        <v>62</v>
      </c>
      <c r="C1165" t="s">
        <v>90</v>
      </c>
      <c r="D1165" t="s">
        <v>62</v>
      </c>
      <c r="J1165" s="8">
        <f>IF(Tableau3[[#This Row],[prospet]]=0,0,Tableau3[[#This Row],[Ventes]]/Tableau3[[#This Row],[prospet]])</f>
        <v>0</v>
      </c>
      <c r="K1165">
        <v>4221767</v>
      </c>
    </row>
    <row r="1166" spans="1:11" x14ac:dyDescent="0.3">
      <c r="A1166" s="1">
        <v>46220</v>
      </c>
      <c r="B1166" t="s">
        <v>63</v>
      </c>
      <c r="C1166" t="s">
        <v>91</v>
      </c>
      <c r="D1166" t="s">
        <v>154</v>
      </c>
      <c r="J1166" s="8">
        <f>IF(Tableau3[[#This Row],[prospet]]=0,0,Tableau3[[#This Row],[Ventes]]/Tableau3[[#This Row],[prospet]])</f>
        <v>0</v>
      </c>
      <c r="K1166">
        <v>4463888</v>
      </c>
    </row>
    <row r="1167" spans="1:11" x14ac:dyDescent="0.3">
      <c r="A1167" s="1">
        <v>46220</v>
      </c>
      <c r="B1167" t="s">
        <v>81</v>
      </c>
      <c r="C1167" t="s">
        <v>92</v>
      </c>
      <c r="D1167" t="s">
        <v>81</v>
      </c>
      <c r="J1167" s="8">
        <f>IF(Tableau3[[#This Row],[prospet]]=0,0,Tableau3[[#This Row],[Ventes]]/Tableau3[[#This Row],[prospet]])</f>
        <v>0</v>
      </c>
      <c r="K1167">
        <v>4559847</v>
      </c>
    </row>
    <row r="1168" spans="1:11" x14ac:dyDescent="0.3">
      <c r="A1168" s="1">
        <v>46220</v>
      </c>
      <c r="B1168" t="s">
        <v>80</v>
      </c>
      <c r="C1168" t="s">
        <v>94</v>
      </c>
      <c r="D1168" t="s">
        <v>155</v>
      </c>
      <c r="E1168">
        <v>48</v>
      </c>
      <c r="F1168">
        <v>4</v>
      </c>
      <c r="G1168" s="2">
        <v>2.19</v>
      </c>
      <c r="H1168">
        <f>7500+7500+25000</f>
        <v>40000</v>
      </c>
      <c r="I1168">
        <f>1500+1500+5000</f>
        <v>8000</v>
      </c>
      <c r="J1168" s="8">
        <f>IF(Tableau3[[#This Row],[prospet]]=0,0,Tableau3[[#This Row],[Ventes]]/Tableau3[[#This Row],[prospet]])</f>
        <v>8.3333333333333329E-2</v>
      </c>
      <c r="K1168">
        <v>4636772</v>
      </c>
    </row>
    <row r="1169" spans="1:11" x14ac:dyDescent="0.3">
      <c r="A1169" s="1">
        <v>46220</v>
      </c>
      <c r="B1169" t="s">
        <v>83</v>
      </c>
      <c r="C1169" t="s">
        <v>95</v>
      </c>
      <c r="D1169" t="s">
        <v>83</v>
      </c>
      <c r="J1169" s="8">
        <f>IF(Tableau3[[#This Row],[prospet]]=0,0,Tableau3[[#This Row],[Ventes]]/Tableau3[[#This Row],[prospet]])</f>
        <v>0</v>
      </c>
      <c r="K1169">
        <v>3947053</v>
      </c>
    </row>
    <row r="1170" spans="1:11" x14ac:dyDescent="0.3">
      <c r="A1170" s="1">
        <v>46220</v>
      </c>
      <c r="B1170" t="s">
        <v>84</v>
      </c>
      <c r="C1170" t="s">
        <v>96</v>
      </c>
      <c r="D1170" t="s">
        <v>84</v>
      </c>
      <c r="E1170">
        <v>21</v>
      </c>
      <c r="F1170">
        <v>1</v>
      </c>
      <c r="G1170" s="2">
        <v>2.34</v>
      </c>
      <c r="H1170">
        <v>4000</v>
      </c>
      <c r="I1170">
        <v>1000</v>
      </c>
      <c r="J1170" s="8">
        <f>IF(Tableau3[[#This Row],[prospet]]=0,0,Tableau3[[#This Row],[Ventes]]/Tableau3[[#This Row],[prospet]])</f>
        <v>4.7619047619047616E-2</v>
      </c>
      <c r="K1170">
        <v>4587817</v>
      </c>
    </row>
    <row r="1171" spans="1:11" x14ac:dyDescent="0.3">
      <c r="A1171" s="1">
        <v>46220</v>
      </c>
      <c r="B1171" t="s">
        <v>98</v>
      </c>
      <c r="C1171" t="s">
        <v>99</v>
      </c>
      <c r="D1171" t="s">
        <v>98</v>
      </c>
      <c r="E1171">
        <v>16</v>
      </c>
      <c r="F1171">
        <v>2</v>
      </c>
      <c r="G1171" s="2">
        <v>2.34</v>
      </c>
      <c r="H1171">
        <v>30000</v>
      </c>
      <c r="I1171">
        <f>2500+1500</f>
        <v>4000</v>
      </c>
      <c r="J1171" s="8">
        <f>IF(Tableau3[[#This Row],[prospet]]=0,0,Tableau3[[#This Row],[Ventes]]/Tableau3[[#This Row],[prospet]])</f>
        <v>0.125</v>
      </c>
      <c r="K1171">
        <v>3330821</v>
      </c>
    </row>
    <row r="1172" spans="1:11" x14ac:dyDescent="0.3">
      <c r="A1172" s="1">
        <v>46220</v>
      </c>
      <c r="B1172" t="s">
        <v>187</v>
      </c>
      <c r="D1172" t="s">
        <v>187</v>
      </c>
      <c r="E1172">
        <v>29</v>
      </c>
      <c r="G1172" s="2">
        <v>2.2200000000000002</v>
      </c>
      <c r="J1172" s="8">
        <f>IF(Tableau3[[#This Row],[prospet]]=0,0,Tableau3[[#This Row],[Ventes]]/Tableau3[[#This Row],[prospet]])</f>
        <v>0</v>
      </c>
      <c r="K1172" s="10">
        <v>4336877</v>
      </c>
    </row>
    <row r="1173" spans="1:11" x14ac:dyDescent="0.3">
      <c r="A1173" s="1">
        <v>46220</v>
      </c>
      <c r="B1173" t="s">
        <v>204</v>
      </c>
      <c r="D1173" t="s">
        <v>205</v>
      </c>
      <c r="E1173">
        <v>25</v>
      </c>
      <c r="F1173">
        <v>2</v>
      </c>
      <c r="G1173" s="2">
        <v>2.64</v>
      </c>
      <c r="H1173">
        <f>12500+7500</f>
        <v>20000</v>
      </c>
      <c r="I1173">
        <f>1500+1000</f>
        <v>2500</v>
      </c>
      <c r="J1173" s="8">
        <f>IF(Tableau3[[#This Row],[prospet]]=0,0,Tableau3[[#This Row],[Ventes]]/Tableau3[[#This Row],[prospet]])</f>
        <v>0.08</v>
      </c>
      <c r="K1173">
        <v>4605616</v>
      </c>
    </row>
    <row r="1174" spans="1:11" x14ac:dyDescent="0.3">
      <c r="A1174" s="1">
        <v>46220</v>
      </c>
      <c r="B1174" t="s">
        <v>246</v>
      </c>
      <c r="D1174" t="s">
        <v>246</v>
      </c>
      <c r="F1174">
        <v>1</v>
      </c>
      <c r="H1174">
        <v>12500</v>
      </c>
      <c r="I1174">
        <v>2500</v>
      </c>
      <c r="J1174" s="8">
        <f>IF(Tableau3[[#This Row],[prospet]]=0,0,Tableau3[[#This Row],[Ventes]]/Tableau3[[#This Row],[prospet]])</f>
        <v>0</v>
      </c>
      <c r="K1174">
        <v>3234586</v>
      </c>
    </row>
    <row r="1175" spans="1:11" x14ac:dyDescent="0.3">
      <c r="A1175" s="1">
        <v>46221</v>
      </c>
      <c r="B1175" t="s">
        <v>16</v>
      </c>
      <c r="C1175" t="s">
        <v>85</v>
      </c>
      <c r="D1175" t="s">
        <v>18</v>
      </c>
      <c r="J1175" s="8">
        <f>IF(Tableau3[[#This Row],[prospet]]=0,0,Tableau3[[#This Row],[Ventes]]/Tableau3[[#This Row],[prospet]])</f>
        <v>0</v>
      </c>
      <c r="K1175">
        <v>4316190</v>
      </c>
    </row>
    <row r="1176" spans="1:11" x14ac:dyDescent="0.3">
      <c r="A1176" s="1">
        <v>46221</v>
      </c>
      <c r="B1176" t="s">
        <v>9</v>
      </c>
      <c r="C1176" t="s">
        <v>86</v>
      </c>
      <c r="D1176" t="s">
        <v>13</v>
      </c>
      <c r="J1176" s="8">
        <f>IF(Tableau3[[#This Row],[prospet]]=0,0,Tableau3[[#This Row],[Ventes]]/Tableau3[[#This Row],[prospet]])</f>
        <v>0</v>
      </c>
      <c r="K1176">
        <v>4554529</v>
      </c>
    </row>
    <row r="1177" spans="1:11" x14ac:dyDescent="0.3">
      <c r="A1177" s="1">
        <v>46221</v>
      </c>
      <c r="B1177" t="s">
        <v>43</v>
      </c>
      <c r="C1177" t="s">
        <v>11</v>
      </c>
      <c r="D1177" t="s">
        <v>43</v>
      </c>
      <c r="J1177" s="8">
        <f>IF(Tableau3[[#This Row],[prospet]]=0,0,Tableau3[[#This Row],[Ventes]]/Tableau3[[#This Row],[prospet]])</f>
        <v>0</v>
      </c>
      <c r="K1177">
        <v>4348553</v>
      </c>
    </row>
    <row r="1178" spans="1:11" x14ac:dyDescent="0.3">
      <c r="A1178" s="1">
        <v>46221</v>
      </c>
      <c r="B1178" t="s">
        <v>30</v>
      </c>
      <c r="C1178" t="s">
        <v>88</v>
      </c>
      <c r="D1178" t="s">
        <v>30</v>
      </c>
      <c r="J1178" s="8">
        <f>IF(Tableau3[[#This Row],[prospet]]=0,0,Tableau3[[#This Row],[Ventes]]/Tableau3[[#This Row],[prospet]])</f>
        <v>0</v>
      </c>
      <c r="K1178">
        <v>4586158</v>
      </c>
    </row>
    <row r="1179" spans="1:11" x14ac:dyDescent="0.3">
      <c r="A1179" s="1">
        <v>46221</v>
      </c>
      <c r="B1179" t="s">
        <v>3</v>
      </c>
      <c r="C1179" t="s">
        <v>89</v>
      </c>
      <c r="D1179" t="s">
        <v>3</v>
      </c>
      <c r="J1179" s="8">
        <f>IF(Tableau3[[#This Row],[prospet]]=0,0,Tableau3[[#This Row],[Ventes]]/Tableau3[[#This Row],[prospet]])</f>
        <v>0</v>
      </c>
      <c r="K1179">
        <v>4561858</v>
      </c>
    </row>
    <row r="1180" spans="1:11" x14ac:dyDescent="0.3">
      <c r="A1180" s="1">
        <v>46221</v>
      </c>
      <c r="B1180" t="s">
        <v>62</v>
      </c>
      <c r="C1180" t="s">
        <v>90</v>
      </c>
      <c r="D1180" t="s">
        <v>62</v>
      </c>
      <c r="J1180" s="8">
        <f>IF(Tableau3[[#This Row],[prospet]]=0,0,Tableau3[[#This Row],[Ventes]]/Tableau3[[#This Row],[prospet]])</f>
        <v>0</v>
      </c>
      <c r="K1180">
        <v>4221767</v>
      </c>
    </row>
    <row r="1181" spans="1:11" x14ac:dyDescent="0.3">
      <c r="A1181" s="1">
        <v>46221</v>
      </c>
      <c r="B1181" t="s">
        <v>63</v>
      </c>
      <c r="C1181" t="s">
        <v>91</v>
      </c>
      <c r="D1181" t="s">
        <v>154</v>
      </c>
      <c r="J1181" s="8">
        <f>IF(Tableau3[[#This Row],[prospet]]=0,0,Tableau3[[#This Row],[Ventes]]/Tableau3[[#This Row],[prospet]])</f>
        <v>0</v>
      </c>
      <c r="K1181">
        <v>4463888</v>
      </c>
    </row>
    <row r="1182" spans="1:11" x14ac:dyDescent="0.3">
      <c r="A1182" s="1">
        <v>46221</v>
      </c>
      <c r="B1182" t="s">
        <v>81</v>
      </c>
      <c r="C1182" t="s">
        <v>92</v>
      </c>
      <c r="D1182" t="s">
        <v>81</v>
      </c>
      <c r="J1182" s="8">
        <f>IF(Tableau3[[#This Row],[prospet]]=0,0,Tableau3[[#This Row],[Ventes]]/Tableau3[[#This Row],[prospet]])</f>
        <v>0</v>
      </c>
      <c r="K1182">
        <v>4559847</v>
      </c>
    </row>
    <row r="1183" spans="1:11" x14ac:dyDescent="0.3">
      <c r="A1183" s="1">
        <v>46221</v>
      </c>
      <c r="B1183" t="s">
        <v>80</v>
      </c>
      <c r="C1183" t="s">
        <v>94</v>
      </c>
      <c r="D1183" t="s">
        <v>155</v>
      </c>
      <c r="J1183" s="8">
        <f>IF(Tableau3[[#This Row],[prospet]]=0,0,Tableau3[[#This Row],[Ventes]]/Tableau3[[#This Row],[prospet]])</f>
        <v>0</v>
      </c>
      <c r="K1183">
        <v>4636772</v>
      </c>
    </row>
    <row r="1184" spans="1:11" x14ac:dyDescent="0.3">
      <c r="A1184" s="1">
        <v>46221</v>
      </c>
      <c r="B1184" t="s">
        <v>83</v>
      </c>
      <c r="C1184" t="s">
        <v>95</v>
      </c>
      <c r="D1184" t="s">
        <v>83</v>
      </c>
      <c r="J1184" s="8">
        <f>IF(Tableau3[[#This Row],[prospet]]=0,0,Tableau3[[#This Row],[Ventes]]/Tableau3[[#This Row],[prospet]])</f>
        <v>0</v>
      </c>
      <c r="K1184">
        <v>3947053</v>
      </c>
    </row>
    <row r="1185" spans="1:11" x14ac:dyDescent="0.3">
      <c r="A1185" s="1">
        <v>46221</v>
      </c>
      <c r="B1185" t="s">
        <v>84</v>
      </c>
      <c r="C1185" t="s">
        <v>96</v>
      </c>
      <c r="D1185" t="s">
        <v>84</v>
      </c>
      <c r="J1185" s="8">
        <f>IF(Tableau3[[#This Row],[prospet]]=0,0,Tableau3[[#This Row],[Ventes]]/Tableau3[[#This Row],[prospet]])</f>
        <v>0</v>
      </c>
      <c r="K1185">
        <v>4587817</v>
      </c>
    </row>
    <row r="1186" spans="1:11" x14ac:dyDescent="0.3">
      <c r="A1186" s="1">
        <v>46221</v>
      </c>
      <c r="B1186" t="s">
        <v>98</v>
      </c>
      <c r="C1186" t="s">
        <v>99</v>
      </c>
      <c r="D1186" t="s">
        <v>98</v>
      </c>
      <c r="J1186" s="8">
        <f>IF(Tableau3[[#This Row],[prospet]]=0,0,Tableau3[[#This Row],[Ventes]]/Tableau3[[#This Row],[prospet]])</f>
        <v>0</v>
      </c>
      <c r="K1186">
        <v>3330821</v>
      </c>
    </row>
    <row r="1187" spans="1:11" x14ac:dyDescent="0.3">
      <c r="A1187" s="1">
        <v>46221</v>
      </c>
      <c r="B1187" t="s">
        <v>187</v>
      </c>
      <c r="D1187" t="s">
        <v>187</v>
      </c>
      <c r="J1187" s="8">
        <f>IF(Tableau3[[#This Row],[prospet]]=0,0,Tableau3[[#This Row],[Ventes]]/Tableau3[[#This Row],[prospet]])</f>
        <v>0</v>
      </c>
    </row>
    <row r="1188" spans="1:11" x14ac:dyDescent="0.3">
      <c r="A1188" s="1">
        <v>46221</v>
      </c>
      <c r="B1188" t="s">
        <v>204</v>
      </c>
      <c r="D1188" t="s">
        <v>205</v>
      </c>
      <c r="J1188" s="8">
        <f>IF(Tableau3[[#This Row],[prospet]]=0,0,Tableau3[[#This Row],[Ventes]]/Tableau3[[#This Row],[prospet]])</f>
        <v>0</v>
      </c>
    </row>
    <row r="1189" spans="1:11" x14ac:dyDescent="0.3">
      <c r="A1189" s="1">
        <v>46221</v>
      </c>
      <c r="B1189" t="s">
        <v>246</v>
      </c>
      <c r="D1189" t="s">
        <v>246</v>
      </c>
      <c r="J1189" s="8">
        <f>IF(Tableau3[[#This Row],[prospet]]=0,0,Tableau3[[#This Row],[Ventes]]/Tableau3[[#This Row],[prospet]])</f>
        <v>0</v>
      </c>
    </row>
    <row r="1190" spans="1:11" x14ac:dyDescent="0.3">
      <c r="A1190" s="1">
        <v>46222</v>
      </c>
      <c r="B1190" t="s">
        <v>16</v>
      </c>
      <c r="C1190" t="s">
        <v>85</v>
      </c>
      <c r="D1190" t="s">
        <v>18</v>
      </c>
      <c r="J1190" s="8">
        <f>IF(Tableau3[[#This Row],[prospet]]=0,0,Tableau3[[#This Row],[Ventes]]/Tableau3[[#This Row],[prospet]])</f>
        <v>0</v>
      </c>
      <c r="K1190">
        <v>4316190</v>
      </c>
    </row>
    <row r="1191" spans="1:11" x14ac:dyDescent="0.3">
      <c r="A1191" s="1">
        <v>46222</v>
      </c>
      <c r="B1191" t="s">
        <v>9</v>
      </c>
      <c r="C1191" t="s">
        <v>86</v>
      </c>
      <c r="D1191" t="s">
        <v>13</v>
      </c>
      <c r="J1191" s="8">
        <f>IF(Tableau3[[#This Row],[prospet]]=0,0,Tableau3[[#This Row],[Ventes]]/Tableau3[[#This Row],[prospet]])</f>
        <v>0</v>
      </c>
      <c r="K1191">
        <v>4554529</v>
      </c>
    </row>
    <row r="1192" spans="1:11" x14ac:dyDescent="0.3">
      <c r="A1192" s="1">
        <v>46222</v>
      </c>
      <c r="B1192" t="s">
        <v>43</v>
      </c>
      <c r="C1192" t="s">
        <v>11</v>
      </c>
      <c r="D1192" t="s">
        <v>43</v>
      </c>
      <c r="J1192" s="8">
        <f>IF(Tableau3[[#This Row],[prospet]]=0,0,Tableau3[[#This Row],[Ventes]]/Tableau3[[#This Row],[prospet]])</f>
        <v>0</v>
      </c>
      <c r="K1192">
        <v>4348553</v>
      </c>
    </row>
    <row r="1193" spans="1:11" x14ac:dyDescent="0.3">
      <c r="A1193" s="1">
        <v>46222</v>
      </c>
      <c r="B1193" t="s">
        <v>30</v>
      </c>
      <c r="C1193" t="s">
        <v>88</v>
      </c>
      <c r="D1193" t="s">
        <v>30</v>
      </c>
      <c r="J1193" s="8">
        <f>IF(Tableau3[[#This Row],[prospet]]=0,0,Tableau3[[#This Row],[Ventes]]/Tableau3[[#This Row],[prospet]])</f>
        <v>0</v>
      </c>
      <c r="K1193">
        <v>4586158</v>
      </c>
    </row>
    <row r="1194" spans="1:11" x14ac:dyDescent="0.3">
      <c r="A1194" s="1">
        <v>46222</v>
      </c>
      <c r="B1194" t="s">
        <v>3</v>
      </c>
      <c r="C1194" t="s">
        <v>89</v>
      </c>
      <c r="D1194" t="s">
        <v>3</v>
      </c>
      <c r="J1194" s="8">
        <f>IF(Tableau3[[#This Row],[prospet]]=0,0,Tableau3[[#This Row],[Ventes]]/Tableau3[[#This Row],[prospet]])</f>
        <v>0</v>
      </c>
      <c r="K1194">
        <v>4561858</v>
      </c>
    </row>
    <row r="1195" spans="1:11" x14ac:dyDescent="0.3">
      <c r="A1195" s="1">
        <v>46222</v>
      </c>
      <c r="B1195" t="s">
        <v>62</v>
      </c>
      <c r="C1195" t="s">
        <v>90</v>
      </c>
      <c r="D1195" t="s">
        <v>62</v>
      </c>
      <c r="J1195" s="8">
        <f>IF(Tableau3[[#This Row],[prospet]]=0,0,Tableau3[[#This Row],[Ventes]]/Tableau3[[#This Row],[prospet]])</f>
        <v>0</v>
      </c>
      <c r="K1195">
        <v>4221767</v>
      </c>
    </row>
    <row r="1196" spans="1:11" x14ac:dyDescent="0.3">
      <c r="A1196" s="1">
        <v>46222</v>
      </c>
      <c r="B1196" t="s">
        <v>63</v>
      </c>
      <c r="C1196" t="s">
        <v>91</v>
      </c>
      <c r="D1196" t="s">
        <v>154</v>
      </c>
      <c r="J1196" s="8">
        <f>IF(Tableau3[[#This Row],[prospet]]=0,0,Tableau3[[#This Row],[Ventes]]/Tableau3[[#This Row],[prospet]])</f>
        <v>0</v>
      </c>
      <c r="K1196">
        <v>4463888</v>
      </c>
    </row>
    <row r="1197" spans="1:11" x14ac:dyDescent="0.3">
      <c r="A1197" s="1">
        <v>46222</v>
      </c>
      <c r="B1197" t="s">
        <v>81</v>
      </c>
      <c r="C1197" t="s">
        <v>92</v>
      </c>
      <c r="D1197" t="s">
        <v>81</v>
      </c>
      <c r="J1197" s="8">
        <f>IF(Tableau3[[#This Row],[prospet]]=0,0,Tableau3[[#This Row],[Ventes]]/Tableau3[[#This Row],[prospet]])</f>
        <v>0</v>
      </c>
      <c r="K1197">
        <v>4559847</v>
      </c>
    </row>
    <row r="1198" spans="1:11" x14ac:dyDescent="0.3">
      <c r="A1198" s="1">
        <v>46222</v>
      </c>
      <c r="B1198" t="s">
        <v>80</v>
      </c>
      <c r="C1198" t="s">
        <v>94</v>
      </c>
      <c r="D1198" t="s">
        <v>155</v>
      </c>
      <c r="J1198" s="8">
        <f>IF(Tableau3[[#This Row],[prospet]]=0,0,Tableau3[[#This Row],[Ventes]]/Tableau3[[#This Row],[prospet]])</f>
        <v>0</v>
      </c>
      <c r="K1198">
        <v>4636772</v>
      </c>
    </row>
    <row r="1199" spans="1:11" x14ac:dyDescent="0.3">
      <c r="A1199" s="1">
        <v>46222</v>
      </c>
      <c r="B1199" t="s">
        <v>83</v>
      </c>
      <c r="C1199" t="s">
        <v>95</v>
      </c>
      <c r="D1199" t="s">
        <v>83</v>
      </c>
      <c r="J1199" s="8">
        <f>IF(Tableau3[[#This Row],[prospet]]=0,0,Tableau3[[#This Row],[Ventes]]/Tableau3[[#This Row],[prospet]])</f>
        <v>0</v>
      </c>
      <c r="K1199">
        <v>3947053</v>
      </c>
    </row>
    <row r="1200" spans="1:11" x14ac:dyDescent="0.3">
      <c r="A1200" s="1">
        <v>46222</v>
      </c>
      <c r="B1200" t="s">
        <v>84</v>
      </c>
      <c r="C1200" t="s">
        <v>96</v>
      </c>
      <c r="D1200" t="s">
        <v>84</v>
      </c>
      <c r="J1200" s="8">
        <f>IF(Tableau3[[#This Row],[prospet]]=0,0,Tableau3[[#This Row],[Ventes]]/Tableau3[[#This Row],[prospet]])</f>
        <v>0</v>
      </c>
      <c r="K1200">
        <v>4587817</v>
      </c>
    </row>
    <row r="1201" spans="1:11" x14ac:dyDescent="0.3">
      <c r="A1201" s="1">
        <v>46222</v>
      </c>
      <c r="B1201" t="s">
        <v>98</v>
      </c>
      <c r="C1201" t="s">
        <v>99</v>
      </c>
      <c r="D1201" t="s">
        <v>98</v>
      </c>
      <c r="J1201" s="8">
        <f>IF(Tableau3[[#This Row],[prospet]]=0,0,Tableau3[[#This Row],[Ventes]]/Tableau3[[#This Row],[prospet]])</f>
        <v>0</v>
      </c>
      <c r="K1201">
        <v>3330821</v>
      </c>
    </row>
    <row r="1202" spans="1:11" x14ac:dyDescent="0.3">
      <c r="A1202" s="1">
        <v>46222</v>
      </c>
      <c r="B1202" t="s">
        <v>187</v>
      </c>
      <c r="D1202" t="s">
        <v>187</v>
      </c>
      <c r="J1202" s="8">
        <f>IF(Tableau3[[#This Row],[prospet]]=0,0,Tableau3[[#This Row],[Ventes]]/Tableau3[[#This Row],[prospet]])</f>
        <v>0</v>
      </c>
    </row>
    <row r="1203" spans="1:11" x14ac:dyDescent="0.3">
      <c r="A1203" s="1">
        <v>46222</v>
      </c>
      <c r="B1203" t="s">
        <v>204</v>
      </c>
      <c r="D1203" t="s">
        <v>205</v>
      </c>
      <c r="J1203" s="8">
        <f>IF(Tableau3[[#This Row],[prospet]]=0,0,Tableau3[[#This Row],[Ventes]]/Tableau3[[#This Row],[prospet]])</f>
        <v>0</v>
      </c>
    </row>
    <row r="1204" spans="1:11" x14ac:dyDescent="0.3">
      <c r="A1204" s="1">
        <v>46222</v>
      </c>
      <c r="B1204" t="s">
        <v>246</v>
      </c>
      <c r="D1204" t="s">
        <v>246</v>
      </c>
      <c r="J1204" s="8">
        <f>IF(Tableau3[[#This Row],[prospet]]=0,0,Tableau3[[#This Row],[Ventes]]/Tableau3[[#This Row],[prospet]])</f>
        <v>0</v>
      </c>
    </row>
    <row r="1205" spans="1:11" x14ac:dyDescent="0.3">
      <c r="A1205" s="1">
        <v>46221</v>
      </c>
      <c r="B1205" t="s">
        <v>16</v>
      </c>
      <c r="C1205" t="s">
        <v>85</v>
      </c>
      <c r="D1205" t="s">
        <v>18</v>
      </c>
      <c r="J1205" s="8">
        <f>IF(Tableau3[[#This Row],[prospet]]=0,0,Tableau3[[#This Row],[Ventes]]/Tableau3[[#This Row],[prospet]])</f>
        <v>0</v>
      </c>
      <c r="K1205">
        <v>4316190</v>
      </c>
    </row>
    <row r="1206" spans="1:11" x14ac:dyDescent="0.3">
      <c r="A1206" s="1">
        <v>46223</v>
      </c>
      <c r="B1206" t="s">
        <v>9</v>
      </c>
      <c r="C1206" t="s">
        <v>86</v>
      </c>
      <c r="D1206" t="s">
        <v>13</v>
      </c>
      <c r="J1206" s="8">
        <f>IF(Tableau3[[#This Row],[prospet]]=0,0,Tableau3[[#This Row],[Ventes]]/Tableau3[[#This Row],[prospet]])</f>
        <v>0</v>
      </c>
      <c r="K1206">
        <v>4554529</v>
      </c>
    </row>
    <row r="1207" spans="1:11" x14ac:dyDescent="0.3">
      <c r="A1207" s="1">
        <v>46223</v>
      </c>
      <c r="B1207" t="s">
        <v>43</v>
      </c>
      <c r="C1207" t="s">
        <v>11</v>
      </c>
      <c r="D1207" t="s">
        <v>43</v>
      </c>
      <c r="J1207" s="8">
        <f>IF(Tableau3[[#This Row],[prospet]]=0,0,Tableau3[[#This Row],[Ventes]]/Tableau3[[#This Row],[prospet]])</f>
        <v>0</v>
      </c>
      <c r="K1207">
        <v>4348553</v>
      </c>
    </row>
    <row r="1208" spans="1:11" x14ac:dyDescent="0.3">
      <c r="A1208" s="1">
        <v>46223</v>
      </c>
      <c r="B1208" t="s">
        <v>30</v>
      </c>
      <c r="C1208" t="s">
        <v>88</v>
      </c>
      <c r="D1208" t="s">
        <v>30</v>
      </c>
      <c r="J1208" s="8">
        <f>IF(Tableau3[[#This Row],[prospet]]=0,0,Tableau3[[#This Row],[Ventes]]/Tableau3[[#This Row],[prospet]])</f>
        <v>0</v>
      </c>
      <c r="K1208">
        <v>4586158</v>
      </c>
    </row>
    <row r="1209" spans="1:11" x14ac:dyDescent="0.3">
      <c r="A1209" s="1">
        <v>46223</v>
      </c>
      <c r="B1209" t="s">
        <v>3</v>
      </c>
      <c r="C1209" t="s">
        <v>89</v>
      </c>
      <c r="D1209" t="s">
        <v>3</v>
      </c>
      <c r="J1209" s="8">
        <f>IF(Tableau3[[#This Row],[prospet]]=0,0,Tableau3[[#This Row],[Ventes]]/Tableau3[[#This Row],[prospet]])</f>
        <v>0</v>
      </c>
      <c r="K1209">
        <v>4561858</v>
      </c>
    </row>
    <row r="1210" spans="1:11" x14ac:dyDescent="0.3">
      <c r="A1210" s="1">
        <v>46223</v>
      </c>
      <c r="B1210" t="s">
        <v>62</v>
      </c>
      <c r="C1210" t="s">
        <v>90</v>
      </c>
      <c r="D1210" t="s">
        <v>62</v>
      </c>
      <c r="J1210" s="8">
        <f>IF(Tableau3[[#This Row],[prospet]]=0,0,Tableau3[[#This Row],[Ventes]]/Tableau3[[#This Row],[prospet]])</f>
        <v>0</v>
      </c>
      <c r="K1210">
        <v>4221767</v>
      </c>
    </row>
    <row r="1211" spans="1:11" x14ac:dyDescent="0.3">
      <c r="A1211" s="1">
        <v>46223</v>
      </c>
      <c r="B1211" t="s">
        <v>63</v>
      </c>
      <c r="C1211" t="s">
        <v>91</v>
      </c>
      <c r="D1211" t="s">
        <v>154</v>
      </c>
      <c r="J1211" s="8">
        <f>IF(Tableau3[[#This Row],[prospet]]=0,0,Tableau3[[#This Row],[Ventes]]/Tableau3[[#This Row],[prospet]])</f>
        <v>0</v>
      </c>
      <c r="K1211">
        <v>4463888</v>
      </c>
    </row>
    <row r="1212" spans="1:11" x14ac:dyDescent="0.3">
      <c r="A1212" s="1">
        <v>46223</v>
      </c>
      <c r="B1212" t="s">
        <v>81</v>
      </c>
      <c r="C1212" t="s">
        <v>92</v>
      </c>
      <c r="D1212" t="s">
        <v>81</v>
      </c>
      <c r="J1212" s="8">
        <f>IF(Tableau3[[#This Row],[prospet]]=0,0,Tableau3[[#This Row],[Ventes]]/Tableau3[[#This Row],[prospet]])</f>
        <v>0</v>
      </c>
      <c r="K1212">
        <v>4559847</v>
      </c>
    </row>
    <row r="1213" spans="1:11" x14ac:dyDescent="0.3">
      <c r="A1213" s="1">
        <v>46223</v>
      </c>
      <c r="B1213" t="s">
        <v>80</v>
      </c>
      <c r="C1213" t="s">
        <v>94</v>
      </c>
      <c r="D1213" t="s">
        <v>155</v>
      </c>
      <c r="J1213" s="8">
        <f>IF(Tableau3[[#This Row],[prospet]]=0,0,Tableau3[[#This Row],[Ventes]]/Tableau3[[#This Row],[prospet]])</f>
        <v>0</v>
      </c>
      <c r="K1213">
        <v>4636772</v>
      </c>
    </row>
    <row r="1214" spans="1:11" x14ac:dyDescent="0.3">
      <c r="A1214" s="1">
        <v>46223</v>
      </c>
      <c r="B1214" t="s">
        <v>83</v>
      </c>
      <c r="C1214" t="s">
        <v>95</v>
      </c>
      <c r="D1214" t="s">
        <v>83</v>
      </c>
      <c r="J1214" s="8">
        <f>IF(Tableau3[[#This Row],[prospet]]=0,0,Tableau3[[#This Row],[Ventes]]/Tableau3[[#This Row],[prospet]])</f>
        <v>0</v>
      </c>
      <c r="K1214">
        <v>3947053</v>
      </c>
    </row>
    <row r="1215" spans="1:11" x14ac:dyDescent="0.3">
      <c r="A1215" s="1">
        <v>46223</v>
      </c>
      <c r="B1215" t="s">
        <v>84</v>
      </c>
      <c r="C1215" t="s">
        <v>96</v>
      </c>
      <c r="D1215" t="s">
        <v>84</v>
      </c>
      <c r="J1215" s="8">
        <f>IF(Tableau3[[#This Row],[prospet]]=0,0,Tableau3[[#This Row],[Ventes]]/Tableau3[[#This Row],[prospet]])</f>
        <v>0</v>
      </c>
      <c r="K1215">
        <v>4587817</v>
      </c>
    </row>
    <row r="1216" spans="1:11" x14ac:dyDescent="0.3">
      <c r="A1216" s="1">
        <v>46223</v>
      </c>
      <c r="B1216" t="s">
        <v>98</v>
      </c>
      <c r="C1216" t="s">
        <v>99</v>
      </c>
      <c r="D1216" t="s">
        <v>98</v>
      </c>
      <c r="J1216" s="8">
        <f>IF(Tableau3[[#This Row],[prospet]]=0,0,Tableau3[[#This Row],[Ventes]]/Tableau3[[#This Row],[prospet]])</f>
        <v>0</v>
      </c>
      <c r="K1216">
        <v>3330821</v>
      </c>
    </row>
    <row r="1217" spans="1:11" x14ac:dyDescent="0.3">
      <c r="A1217" s="1">
        <v>46223</v>
      </c>
      <c r="B1217" t="s">
        <v>187</v>
      </c>
      <c r="D1217" t="s">
        <v>187</v>
      </c>
      <c r="J1217" s="8">
        <f>IF(Tableau3[[#This Row],[prospet]]=0,0,Tableau3[[#This Row],[Ventes]]/Tableau3[[#This Row],[prospet]])</f>
        <v>0</v>
      </c>
    </row>
    <row r="1218" spans="1:11" x14ac:dyDescent="0.3">
      <c r="A1218" s="1">
        <v>46223</v>
      </c>
      <c r="B1218" t="s">
        <v>204</v>
      </c>
      <c r="D1218" t="s">
        <v>205</v>
      </c>
      <c r="J1218" s="8">
        <f>IF(Tableau3[[#This Row],[prospet]]=0,0,Tableau3[[#This Row],[Ventes]]/Tableau3[[#This Row],[prospet]])</f>
        <v>0</v>
      </c>
    </row>
    <row r="1219" spans="1:11" x14ac:dyDescent="0.3">
      <c r="A1219" s="1">
        <v>46223</v>
      </c>
      <c r="B1219" t="s">
        <v>246</v>
      </c>
      <c r="D1219" t="s">
        <v>246</v>
      </c>
      <c r="J1219" s="8">
        <f>IF(Tableau3[[#This Row],[prospet]]=0,0,Tableau3[[#This Row],[Ventes]]/Tableau3[[#This Row],[prospet]])</f>
        <v>0</v>
      </c>
    </row>
    <row r="1220" spans="1:11" x14ac:dyDescent="0.3">
      <c r="A1220" s="1">
        <v>46224</v>
      </c>
      <c r="B1220" t="s">
        <v>16</v>
      </c>
      <c r="C1220" t="s">
        <v>85</v>
      </c>
      <c r="D1220" t="s">
        <v>18</v>
      </c>
      <c r="J1220" s="8">
        <f>IF(Tableau3[[#This Row],[prospet]]=0,0,Tableau3[[#This Row],[Ventes]]/Tableau3[[#This Row],[prospet]])</f>
        <v>0</v>
      </c>
      <c r="K1220">
        <v>4316190</v>
      </c>
    </row>
    <row r="1221" spans="1:11" x14ac:dyDescent="0.3">
      <c r="A1221" s="1">
        <v>46224</v>
      </c>
      <c r="B1221" t="s">
        <v>9</v>
      </c>
      <c r="C1221" t="s">
        <v>86</v>
      </c>
      <c r="D1221" t="s">
        <v>13</v>
      </c>
      <c r="J1221" s="8">
        <f>IF(Tableau3[[#This Row],[prospet]]=0,0,Tableau3[[#This Row],[Ventes]]/Tableau3[[#This Row],[prospet]])</f>
        <v>0</v>
      </c>
      <c r="K1221">
        <v>4554529</v>
      </c>
    </row>
    <row r="1222" spans="1:11" x14ac:dyDescent="0.3">
      <c r="A1222" s="1">
        <v>46224</v>
      </c>
      <c r="B1222" t="s">
        <v>43</v>
      </c>
      <c r="C1222" t="s">
        <v>11</v>
      </c>
      <c r="D1222" t="s">
        <v>43</v>
      </c>
      <c r="J1222" s="8">
        <f>IF(Tableau3[[#This Row],[prospet]]=0,0,Tableau3[[#This Row],[Ventes]]/Tableau3[[#This Row],[prospet]])</f>
        <v>0</v>
      </c>
      <c r="K1222">
        <v>4348553</v>
      </c>
    </row>
    <row r="1223" spans="1:11" x14ac:dyDescent="0.3">
      <c r="A1223" s="1">
        <v>46224</v>
      </c>
      <c r="B1223" t="s">
        <v>30</v>
      </c>
      <c r="C1223" t="s">
        <v>88</v>
      </c>
      <c r="D1223" t="s">
        <v>30</v>
      </c>
      <c r="J1223" s="8">
        <f>IF(Tableau3[[#This Row],[prospet]]=0,0,Tableau3[[#This Row],[Ventes]]/Tableau3[[#This Row],[prospet]])</f>
        <v>0</v>
      </c>
      <c r="K1223">
        <v>4586158</v>
      </c>
    </row>
    <row r="1224" spans="1:11" x14ac:dyDescent="0.3">
      <c r="A1224" s="1">
        <v>46224</v>
      </c>
      <c r="B1224" t="s">
        <v>3</v>
      </c>
      <c r="C1224" t="s">
        <v>89</v>
      </c>
      <c r="D1224" t="s">
        <v>3</v>
      </c>
      <c r="J1224" s="8">
        <f>IF(Tableau3[[#This Row],[prospet]]=0,0,Tableau3[[#This Row],[Ventes]]/Tableau3[[#This Row],[prospet]])</f>
        <v>0</v>
      </c>
      <c r="K1224">
        <v>4561858</v>
      </c>
    </row>
    <row r="1225" spans="1:11" x14ac:dyDescent="0.3">
      <c r="A1225" s="1">
        <v>46224</v>
      </c>
      <c r="B1225" t="s">
        <v>62</v>
      </c>
      <c r="C1225" t="s">
        <v>90</v>
      </c>
      <c r="D1225" t="s">
        <v>62</v>
      </c>
      <c r="J1225" s="8">
        <f>IF(Tableau3[[#This Row],[prospet]]=0,0,Tableau3[[#This Row],[Ventes]]/Tableau3[[#This Row],[prospet]])</f>
        <v>0</v>
      </c>
      <c r="K1225">
        <v>4221767</v>
      </c>
    </row>
    <row r="1226" spans="1:11" x14ac:dyDescent="0.3">
      <c r="A1226" s="1">
        <v>46224</v>
      </c>
      <c r="B1226" t="s">
        <v>63</v>
      </c>
      <c r="C1226" t="s">
        <v>91</v>
      </c>
      <c r="D1226" t="s">
        <v>154</v>
      </c>
      <c r="J1226" s="8">
        <f>IF(Tableau3[[#This Row],[prospet]]=0,0,Tableau3[[#This Row],[Ventes]]/Tableau3[[#This Row],[prospet]])</f>
        <v>0</v>
      </c>
      <c r="K1226">
        <v>4463888</v>
      </c>
    </row>
    <row r="1227" spans="1:11" x14ac:dyDescent="0.3">
      <c r="A1227" s="1">
        <v>46224</v>
      </c>
      <c r="B1227" t="s">
        <v>81</v>
      </c>
      <c r="C1227" t="s">
        <v>92</v>
      </c>
      <c r="D1227" t="s">
        <v>81</v>
      </c>
      <c r="J1227" s="8">
        <f>IF(Tableau3[[#This Row],[prospet]]=0,0,Tableau3[[#This Row],[Ventes]]/Tableau3[[#This Row],[prospet]])</f>
        <v>0</v>
      </c>
      <c r="K1227">
        <v>4559847</v>
      </c>
    </row>
    <row r="1228" spans="1:11" x14ac:dyDescent="0.3">
      <c r="A1228" s="1">
        <v>46224</v>
      </c>
      <c r="B1228" t="s">
        <v>80</v>
      </c>
      <c r="C1228" t="s">
        <v>94</v>
      </c>
      <c r="D1228" t="s">
        <v>155</v>
      </c>
      <c r="J1228" s="8">
        <f>IF(Tableau3[[#This Row],[prospet]]=0,0,Tableau3[[#This Row],[Ventes]]/Tableau3[[#This Row],[prospet]])</f>
        <v>0</v>
      </c>
      <c r="K1228">
        <v>4636772</v>
      </c>
    </row>
    <row r="1229" spans="1:11" x14ac:dyDescent="0.3">
      <c r="A1229" s="1">
        <v>46224</v>
      </c>
      <c r="B1229" t="s">
        <v>83</v>
      </c>
      <c r="C1229" t="s">
        <v>95</v>
      </c>
      <c r="D1229" t="s">
        <v>83</v>
      </c>
      <c r="J1229" s="8">
        <f>IF(Tableau3[[#This Row],[prospet]]=0,0,Tableau3[[#This Row],[Ventes]]/Tableau3[[#This Row],[prospet]])</f>
        <v>0</v>
      </c>
      <c r="K1229">
        <v>3947053</v>
      </c>
    </row>
    <row r="1230" spans="1:11" x14ac:dyDescent="0.3">
      <c r="A1230" s="1">
        <v>46224</v>
      </c>
      <c r="B1230" t="s">
        <v>84</v>
      </c>
      <c r="C1230" t="s">
        <v>96</v>
      </c>
      <c r="D1230" t="s">
        <v>84</v>
      </c>
      <c r="J1230" s="8">
        <f>IF(Tableau3[[#This Row],[prospet]]=0,0,Tableau3[[#This Row],[Ventes]]/Tableau3[[#This Row],[prospet]])</f>
        <v>0</v>
      </c>
      <c r="K1230">
        <v>4587817</v>
      </c>
    </row>
    <row r="1231" spans="1:11" x14ac:dyDescent="0.3">
      <c r="A1231" s="1">
        <v>46224</v>
      </c>
      <c r="B1231" t="s">
        <v>98</v>
      </c>
      <c r="C1231" t="s">
        <v>99</v>
      </c>
      <c r="D1231" t="s">
        <v>98</v>
      </c>
      <c r="J1231" s="8">
        <f>IF(Tableau3[[#This Row],[prospet]]=0,0,Tableau3[[#This Row],[Ventes]]/Tableau3[[#This Row],[prospet]])</f>
        <v>0</v>
      </c>
      <c r="K1231">
        <v>3330821</v>
      </c>
    </row>
    <row r="1232" spans="1:11" x14ac:dyDescent="0.3">
      <c r="A1232" s="1">
        <v>46224</v>
      </c>
      <c r="B1232" t="s">
        <v>187</v>
      </c>
      <c r="D1232" t="s">
        <v>187</v>
      </c>
      <c r="J1232" s="8">
        <f>IF(Tableau3[[#This Row],[prospet]]=0,0,Tableau3[[#This Row],[Ventes]]/Tableau3[[#This Row],[prospet]])</f>
        <v>0</v>
      </c>
    </row>
    <row r="1233" spans="1:11" x14ac:dyDescent="0.3">
      <c r="A1233" s="1">
        <v>46224</v>
      </c>
      <c r="B1233" t="s">
        <v>204</v>
      </c>
      <c r="D1233" t="s">
        <v>205</v>
      </c>
      <c r="J1233" s="8">
        <f>IF(Tableau3[[#This Row],[prospet]]=0,0,Tableau3[[#This Row],[Ventes]]/Tableau3[[#This Row],[prospet]])</f>
        <v>0</v>
      </c>
    </row>
    <row r="1234" spans="1:11" x14ac:dyDescent="0.3">
      <c r="A1234" s="1">
        <v>46224</v>
      </c>
      <c r="B1234" t="s">
        <v>246</v>
      </c>
      <c r="D1234" t="s">
        <v>246</v>
      </c>
      <c r="J1234" s="8">
        <f>IF(Tableau3[[#This Row],[prospet]]=0,0,Tableau3[[#This Row],[Ventes]]/Tableau3[[#This Row],[prospet]])</f>
        <v>0</v>
      </c>
    </row>
    <row r="1235" spans="1:11" x14ac:dyDescent="0.3">
      <c r="A1235" s="1">
        <v>46225</v>
      </c>
      <c r="B1235" t="s">
        <v>16</v>
      </c>
      <c r="C1235" t="s">
        <v>85</v>
      </c>
      <c r="D1235" t="s">
        <v>18</v>
      </c>
      <c r="J1235" s="8">
        <f>IF(Tableau3[[#This Row],[prospet]]=0,0,Tableau3[[#This Row],[Ventes]]/Tableau3[[#This Row],[prospet]])</f>
        <v>0</v>
      </c>
      <c r="K1235">
        <v>4316190</v>
      </c>
    </row>
    <row r="1236" spans="1:11" x14ac:dyDescent="0.3">
      <c r="A1236" s="1">
        <v>46225</v>
      </c>
      <c r="B1236" t="s">
        <v>9</v>
      </c>
      <c r="C1236" t="s">
        <v>86</v>
      </c>
      <c r="D1236" t="s">
        <v>13</v>
      </c>
      <c r="J1236" s="8">
        <f>IF(Tableau3[[#This Row],[prospet]]=0,0,Tableau3[[#This Row],[Ventes]]/Tableau3[[#This Row],[prospet]])</f>
        <v>0</v>
      </c>
      <c r="K1236">
        <v>4554529</v>
      </c>
    </row>
    <row r="1237" spans="1:11" x14ac:dyDescent="0.3">
      <c r="A1237" s="1">
        <v>46225</v>
      </c>
      <c r="B1237" t="s">
        <v>43</v>
      </c>
      <c r="C1237" t="s">
        <v>11</v>
      </c>
      <c r="D1237" t="s">
        <v>43</v>
      </c>
      <c r="J1237" s="8">
        <f>IF(Tableau3[[#This Row],[prospet]]=0,0,Tableau3[[#This Row],[Ventes]]/Tableau3[[#This Row],[prospet]])</f>
        <v>0</v>
      </c>
      <c r="K1237">
        <v>4348553</v>
      </c>
    </row>
    <row r="1238" spans="1:11" x14ac:dyDescent="0.3">
      <c r="A1238" s="1">
        <v>46225</v>
      </c>
      <c r="B1238" t="s">
        <v>30</v>
      </c>
      <c r="C1238" t="s">
        <v>88</v>
      </c>
      <c r="D1238" t="s">
        <v>30</v>
      </c>
      <c r="J1238" s="8">
        <f>IF(Tableau3[[#This Row],[prospet]]=0,0,Tableau3[[#This Row],[Ventes]]/Tableau3[[#This Row],[prospet]])</f>
        <v>0</v>
      </c>
      <c r="K1238">
        <v>4586158</v>
      </c>
    </row>
    <row r="1239" spans="1:11" x14ac:dyDescent="0.3">
      <c r="A1239" s="1">
        <v>46225</v>
      </c>
      <c r="B1239" t="s">
        <v>3</v>
      </c>
      <c r="C1239" t="s">
        <v>89</v>
      </c>
      <c r="D1239" t="s">
        <v>3</v>
      </c>
      <c r="J1239" s="8">
        <f>IF(Tableau3[[#This Row],[prospet]]=0,0,Tableau3[[#This Row],[Ventes]]/Tableau3[[#This Row],[prospet]])</f>
        <v>0</v>
      </c>
      <c r="K1239">
        <v>4561858</v>
      </c>
    </row>
    <row r="1240" spans="1:11" x14ac:dyDescent="0.3">
      <c r="A1240" s="1">
        <v>46225</v>
      </c>
      <c r="B1240" t="s">
        <v>62</v>
      </c>
      <c r="C1240" t="s">
        <v>90</v>
      </c>
      <c r="D1240" t="s">
        <v>62</v>
      </c>
      <c r="J1240" s="8">
        <f>IF(Tableau3[[#This Row],[prospet]]=0,0,Tableau3[[#This Row],[Ventes]]/Tableau3[[#This Row],[prospet]])</f>
        <v>0</v>
      </c>
      <c r="K1240">
        <v>4221767</v>
      </c>
    </row>
    <row r="1241" spans="1:11" x14ac:dyDescent="0.3">
      <c r="A1241" s="1">
        <v>46225</v>
      </c>
      <c r="B1241" t="s">
        <v>63</v>
      </c>
      <c r="C1241" t="s">
        <v>91</v>
      </c>
      <c r="D1241" t="s">
        <v>154</v>
      </c>
      <c r="J1241" s="8">
        <f>IF(Tableau3[[#This Row],[prospet]]=0,0,Tableau3[[#This Row],[Ventes]]/Tableau3[[#This Row],[prospet]])</f>
        <v>0</v>
      </c>
      <c r="K1241">
        <v>4463888</v>
      </c>
    </row>
    <row r="1242" spans="1:11" x14ac:dyDescent="0.3">
      <c r="A1242" s="1">
        <v>46225</v>
      </c>
      <c r="B1242" t="s">
        <v>81</v>
      </c>
      <c r="C1242" t="s">
        <v>92</v>
      </c>
      <c r="D1242" t="s">
        <v>81</v>
      </c>
      <c r="J1242" s="8">
        <f>IF(Tableau3[[#This Row],[prospet]]=0,0,Tableau3[[#This Row],[Ventes]]/Tableau3[[#This Row],[prospet]])</f>
        <v>0</v>
      </c>
      <c r="K1242">
        <v>4559847</v>
      </c>
    </row>
    <row r="1243" spans="1:11" x14ac:dyDescent="0.3">
      <c r="A1243" s="1">
        <v>46225</v>
      </c>
      <c r="B1243" t="s">
        <v>80</v>
      </c>
      <c r="C1243" t="s">
        <v>94</v>
      </c>
      <c r="D1243" t="s">
        <v>155</v>
      </c>
      <c r="J1243" s="8">
        <f>IF(Tableau3[[#This Row],[prospet]]=0,0,Tableau3[[#This Row],[Ventes]]/Tableau3[[#This Row],[prospet]])</f>
        <v>0</v>
      </c>
      <c r="K1243">
        <v>4636772</v>
      </c>
    </row>
    <row r="1244" spans="1:11" x14ac:dyDescent="0.3">
      <c r="A1244" s="1">
        <v>46225</v>
      </c>
      <c r="B1244" t="s">
        <v>83</v>
      </c>
      <c r="C1244" t="s">
        <v>95</v>
      </c>
      <c r="D1244" t="s">
        <v>83</v>
      </c>
      <c r="J1244" s="8">
        <f>IF(Tableau3[[#This Row],[prospet]]=0,0,Tableau3[[#This Row],[Ventes]]/Tableau3[[#This Row],[prospet]])</f>
        <v>0</v>
      </c>
      <c r="K1244">
        <v>3947053</v>
      </c>
    </row>
    <row r="1245" spans="1:11" x14ac:dyDescent="0.3">
      <c r="A1245" s="1">
        <v>46225</v>
      </c>
      <c r="B1245" t="s">
        <v>84</v>
      </c>
      <c r="C1245" t="s">
        <v>96</v>
      </c>
      <c r="D1245" t="s">
        <v>84</v>
      </c>
      <c r="J1245" s="8">
        <f>IF(Tableau3[[#This Row],[prospet]]=0,0,Tableau3[[#This Row],[Ventes]]/Tableau3[[#This Row],[prospet]])</f>
        <v>0</v>
      </c>
      <c r="K1245">
        <v>4587817</v>
      </c>
    </row>
    <row r="1246" spans="1:11" x14ac:dyDescent="0.3">
      <c r="A1246" s="1">
        <v>46225</v>
      </c>
      <c r="B1246" t="s">
        <v>98</v>
      </c>
      <c r="C1246" t="s">
        <v>99</v>
      </c>
      <c r="D1246" t="s">
        <v>98</v>
      </c>
      <c r="J1246" s="8">
        <f>IF(Tableau3[[#This Row],[prospet]]=0,0,Tableau3[[#This Row],[Ventes]]/Tableau3[[#This Row],[prospet]])</f>
        <v>0</v>
      </c>
      <c r="K1246">
        <v>3330821</v>
      </c>
    </row>
    <row r="1247" spans="1:11" x14ac:dyDescent="0.3">
      <c r="A1247" s="1">
        <v>46225</v>
      </c>
      <c r="B1247" t="s">
        <v>187</v>
      </c>
      <c r="D1247" t="s">
        <v>187</v>
      </c>
      <c r="J1247" s="8">
        <f>IF(Tableau3[[#This Row],[prospet]]=0,0,Tableau3[[#This Row],[Ventes]]/Tableau3[[#This Row],[prospet]])</f>
        <v>0</v>
      </c>
    </row>
    <row r="1248" spans="1:11" x14ac:dyDescent="0.3">
      <c r="A1248" s="1">
        <v>46225</v>
      </c>
      <c r="B1248" t="s">
        <v>204</v>
      </c>
      <c r="D1248" t="s">
        <v>205</v>
      </c>
      <c r="J1248" s="8">
        <f>IF(Tableau3[[#This Row],[prospet]]=0,0,Tableau3[[#This Row],[Ventes]]/Tableau3[[#This Row],[prospet]])</f>
        <v>0</v>
      </c>
    </row>
    <row r="1249" spans="1:11" x14ac:dyDescent="0.3">
      <c r="A1249" s="1">
        <v>46225</v>
      </c>
      <c r="B1249" t="s">
        <v>246</v>
      </c>
      <c r="D1249" t="s">
        <v>246</v>
      </c>
      <c r="J1249" s="8">
        <f>IF(Tableau3[[#This Row],[prospet]]=0,0,Tableau3[[#This Row],[Ventes]]/Tableau3[[#This Row],[prospet]])</f>
        <v>0</v>
      </c>
    </row>
    <row r="1250" spans="1:11" x14ac:dyDescent="0.3">
      <c r="A1250" s="1">
        <v>46226</v>
      </c>
      <c r="B1250" t="s">
        <v>16</v>
      </c>
      <c r="C1250" t="s">
        <v>85</v>
      </c>
      <c r="D1250" t="s">
        <v>18</v>
      </c>
      <c r="J1250" s="8">
        <f>IF(Tableau3[[#This Row],[prospet]]=0,0,Tableau3[[#This Row],[Ventes]]/Tableau3[[#This Row],[prospet]])</f>
        <v>0</v>
      </c>
      <c r="K1250">
        <v>4316190</v>
      </c>
    </row>
    <row r="1251" spans="1:11" x14ac:dyDescent="0.3">
      <c r="A1251" s="1">
        <v>46226</v>
      </c>
      <c r="B1251" t="s">
        <v>9</v>
      </c>
      <c r="C1251" t="s">
        <v>86</v>
      </c>
      <c r="D1251" t="s">
        <v>13</v>
      </c>
      <c r="J1251" s="8">
        <f>IF(Tableau3[[#This Row],[prospet]]=0,0,Tableau3[[#This Row],[Ventes]]/Tableau3[[#This Row],[prospet]])</f>
        <v>0</v>
      </c>
      <c r="K1251">
        <v>4554529</v>
      </c>
    </row>
    <row r="1252" spans="1:11" x14ac:dyDescent="0.3">
      <c r="A1252" s="1">
        <v>46226</v>
      </c>
      <c r="B1252" t="s">
        <v>43</v>
      </c>
      <c r="C1252" t="s">
        <v>11</v>
      </c>
      <c r="D1252" t="s">
        <v>43</v>
      </c>
      <c r="J1252" s="8">
        <f>IF(Tableau3[[#This Row],[prospet]]=0,0,Tableau3[[#This Row],[Ventes]]/Tableau3[[#This Row],[prospet]])</f>
        <v>0</v>
      </c>
      <c r="K1252">
        <v>4348553</v>
      </c>
    </row>
    <row r="1253" spans="1:11" x14ac:dyDescent="0.3">
      <c r="A1253" s="1">
        <v>46226</v>
      </c>
      <c r="B1253" t="s">
        <v>30</v>
      </c>
      <c r="C1253" t="s">
        <v>88</v>
      </c>
      <c r="D1253" t="s">
        <v>30</v>
      </c>
      <c r="J1253" s="8">
        <f>IF(Tableau3[[#This Row],[prospet]]=0,0,Tableau3[[#This Row],[Ventes]]/Tableau3[[#This Row],[prospet]])</f>
        <v>0</v>
      </c>
      <c r="K1253">
        <v>4586158</v>
      </c>
    </row>
    <row r="1254" spans="1:11" x14ac:dyDescent="0.3">
      <c r="A1254" s="1">
        <v>46226</v>
      </c>
      <c r="B1254" t="s">
        <v>3</v>
      </c>
      <c r="C1254" t="s">
        <v>89</v>
      </c>
      <c r="D1254" t="s">
        <v>3</v>
      </c>
      <c r="J1254" s="8">
        <f>IF(Tableau3[[#This Row],[prospet]]=0,0,Tableau3[[#This Row],[Ventes]]/Tableau3[[#This Row],[prospet]])</f>
        <v>0</v>
      </c>
      <c r="K1254">
        <v>4561858</v>
      </c>
    </row>
    <row r="1255" spans="1:11" x14ac:dyDescent="0.3">
      <c r="A1255" s="1">
        <v>46226</v>
      </c>
      <c r="B1255" t="s">
        <v>62</v>
      </c>
      <c r="C1255" t="s">
        <v>90</v>
      </c>
      <c r="D1255" t="s">
        <v>62</v>
      </c>
      <c r="J1255" s="8">
        <f>IF(Tableau3[[#This Row],[prospet]]=0,0,Tableau3[[#This Row],[Ventes]]/Tableau3[[#This Row],[prospet]])</f>
        <v>0</v>
      </c>
      <c r="K1255">
        <v>4221767</v>
      </c>
    </row>
    <row r="1256" spans="1:11" x14ac:dyDescent="0.3">
      <c r="A1256" s="1">
        <v>46226</v>
      </c>
      <c r="B1256" t="s">
        <v>63</v>
      </c>
      <c r="C1256" t="s">
        <v>91</v>
      </c>
      <c r="D1256" t="s">
        <v>154</v>
      </c>
      <c r="J1256" s="8">
        <f>IF(Tableau3[[#This Row],[prospet]]=0,0,Tableau3[[#This Row],[Ventes]]/Tableau3[[#This Row],[prospet]])</f>
        <v>0</v>
      </c>
      <c r="K1256">
        <v>4463888</v>
      </c>
    </row>
    <row r="1257" spans="1:11" x14ac:dyDescent="0.3">
      <c r="A1257" s="1">
        <v>46226</v>
      </c>
      <c r="B1257" t="s">
        <v>81</v>
      </c>
      <c r="C1257" t="s">
        <v>92</v>
      </c>
      <c r="D1257" t="s">
        <v>81</v>
      </c>
      <c r="J1257" s="8">
        <f>IF(Tableau3[[#This Row],[prospet]]=0,0,Tableau3[[#This Row],[Ventes]]/Tableau3[[#This Row],[prospet]])</f>
        <v>0</v>
      </c>
      <c r="K1257">
        <v>4559847</v>
      </c>
    </row>
    <row r="1258" spans="1:11" x14ac:dyDescent="0.3">
      <c r="A1258" s="1">
        <v>46226</v>
      </c>
      <c r="B1258" t="s">
        <v>80</v>
      </c>
      <c r="C1258" t="s">
        <v>94</v>
      </c>
      <c r="D1258" t="s">
        <v>155</v>
      </c>
      <c r="J1258" s="8">
        <f>IF(Tableau3[[#This Row],[prospet]]=0,0,Tableau3[[#This Row],[Ventes]]/Tableau3[[#This Row],[prospet]])</f>
        <v>0</v>
      </c>
      <c r="K1258">
        <v>4636772</v>
      </c>
    </row>
    <row r="1259" spans="1:11" x14ac:dyDescent="0.3">
      <c r="A1259" s="1">
        <v>46226</v>
      </c>
      <c r="B1259" t="s">
        <v>83</v>
      </c>
      <c r="C1259" t="s">
        <v>95</v>
      </c>
      <c r="D1259" t="s">
        <v>83</v>
      </c>
      <c r="J1259" s="8">
        <f>IF(Tableau3[[#This Row],[prospet]]=0,0,Tableau3[[#This Row],[Ventes]]/Tableau3[[#This Row],[prospet]])</f>
        <v>0</v>
      </c>
      <c r="K1259">
        <v>3947053</v>
      </c>
    </row>
    <row r="1260" spans="1:11" x14ac:dyDescent="0.3">
      <c r="A1260" s="1">
        <v>46226</v>
      </c>
      <c r="B1260" t="s">
        <v>84</v>
      </c>
      <c r="C1260" t="s">
        <v>96</v>
      </c>
      <c r="D1260" t="s">
        <v>84</v>
      </c>
      <c r="J1260" s="8">
        <f>IF(Tableau3[[#This Row],[prospet]]=0,0,Tableau3[[#This Row],[Ventes]]/Tableau3[[#This Row],[prospet]])</f>
        <v>0</v>
      </c>
      <c r="K1260">
        <v>4587817</v>
      </c>
    </row>
    <row r="1261" spans="1:11" x14ac:dyDescent="0.3">
      <c r="A1261" s="1">
        <v>46226</v>
      </c>
      <c r="B1261" t="s">
        <v>98</v>
      </c>
      <c r="C1261" t="s">
        <v>99</v>
      </c>
      <c r="D1261" t="s">
        <v>98</v>
      </c>
      <c r="J1261" s="8">
        <f>IF(Tableau3[[#This Row],[prospet]]=0,0,Tableau3[[#This Row],[Ventes]]/Tableau3[[#This Row],[prospet]])</f>
        <v>0</v>
      </c>
      <c r="K1261">
        <v>3330821</v>
      </c>
    </row>
    <row r="1262" spans="1:11" x14ac:dyDescent="0.3">
      <c r="A1262" s="1">
        <v>46226</v>
      </c>
      <c r="B1262" t="s">
        <v>187</v>
      </c>
      <c r="D1262" t="s">
        <v>187</v>
      </c>
      <c r="J1262" s="8">
        <f>IF(Tableau3[[#This Row],[prospet]]=0,0,Tableau3[[#This Row],[Ventes]]/Tableau3[[#This Row],[prospet]])</f>
        <v>0</v>
      </c>
    </row>
    <row r="1263" spans="1:11" x14ac:dyDescent="0.3">
      <c r="A1263" s="1">
        <v>46226</v>
      </c>
      <c r="B1263" t="s">
        <v>204</v>
      </c>
      <c r="D1263" t="s">
        <v>205</v>
      </c>
      <c r="J1263" s="8">
        <f>IF(Tableau3[[#This Row],[prospet]]=0,0,Tableau3[[#This Row],[Ventes]]/Tableau3[[#This Row],[prospet]])</f>
        <v>0</v>
      </c>
    </row>
    <row r="1264" spans="1:11" x14ac:dyDescent="0.3">
      <c r="A1264" s="1">
        <v>46226</v>
      </c>
      <c r="B1264" t="s">
        <v>246</v>
      </c>
      <c r="D1264" t="s">
        <v>246</v>
      </c>
      <c r="J1264" s="8">
        <f>IF(Tableau3[[#This Row],[prospet]]=0,0,Tableau3[[#This Row],[Ventes]]/Tableau3[[#This Row],[prospet]])</f>
        <v>0</v>
      </c>
    </row>
    <row r="1265" spans="1:11" x14ac:dyDescent="0.3">
      <c r="A1265" s="1">
        <v>46227</v>
      </c>
      <c r="B1265" t="s">
        <v>16</v>
      </c>
      <c r="C1265" t="s">
        <v>85</v>
      </c>
      <c r="D1265" t="s">
        <v>18</v>
      </c>
      <c r="J1265" s="8">
        <f>IF(Tableau3[[#This Row],[prospet]]=0,0,Tableau3[[#This Row],[Ventes]]/Tableau3[[#This Row],[prospet]])</f>
        <v>0</v>
      </c>
      <c r="K1265">
        <v>4316190</v>
      </c>
    </row>
    <row r="1266" spans="1:11" x14ac:dyDescent="0.3">
      <c r="A1266" s="1">
        <v>46227</v>
      </c>
      <c r="B1266" t="s">
        <v>9</v>
      </c>
      <c r="C1266" t="s">
        <v>86</v>
      </c>
      <c r="D1266" t="s">
        <v>13</v>
      </c>
      <c r="J1266" s="8">
        <f>IF(Tableau3[[#This Row],[prospet]]=0,0,Tableau3[[#This Row],[Ventes]]/Tableau3[[#This Row],[prospet]])</f>
        <v>0</v>
      </c>
      <c r="K1266">
        <v>4554529</v>
      </c>
    </row>
    <row r="1267" spans="1:11" x14ac:dyDescent="0.3">
      <c r="A1267" s="1">
        <v>46227</v>
      </c>
      <c r="B1267" t="s">
        <v>43</v>
      </c>
      <c r="C1267" t="s">
        <v>11</v>
      </c>
      <c r="D1267" t="s">
        <v>43</v>
      </c>
      <c r="J1267" s="8">
        <f>IF(Tableau3[[#This Row],[prospet]]=0,0,Tableau3[[#This Row],[Ventes]]/Tableau3[[#This Row],[prospet]])</f>
        <v>0</v>
      </c>
      <c r="K1267">
        <v>4348553</v>
      </c>
    </row>
    <row r="1268" spans="1:11" x14ac:dyDescent="0.3">
      <c r="A1268" s="1">
        <v>46227</v>
      </c>
      <c r="B1268" t="s">
        <v>30</v>
      </c>
      <c r="C1268" t="s">
        <v>88</v>
      </c>
      <c r="D1268" t="s">
        <v>30</v>
      </c>
      <c r="J1268" s="8">
        <f>IF(Tableau3[[#This Row],[prospet]]=0,0,Tableau3[[#This Row],[Ventes]]/Tableau3[[#This Row],[prospet]])</f>
        <v>0</v>
      </c>
      <c r="K1268">
        <v>4586158</v>
      </c>
    </row>
    <row r="1269" spans="1:11" x14ac:dyDescent="0.3">
      <c r="A1269" s="1">
        <v>46227</v>
      </c>
      <c r="B1269" t="s">
        <v>3</v>
      </c>
      <c r="C1269" t="s">
        <v>89</v>
      </c>
      <c r="D1269" t="s">
        <v>3</v>
      </c>
      <c r="J1269" s="8">
        <f>IF(Tableau3[[#This Row],[prospet]]=0,0,Tableau3[[#This Row],[Ventes]]/Tableau3[[#This Row],[prospet]])</f>
        <v>0</v>
      </c>
      <c r="K1269">
        <v>4561858</v>
      </c>
    </row>
    <row r="1270" spans="1:11" x14ac:dyDescent="0.3">
      <c r="A1270" s="1">
        <v>46227</v>
      </c>
      <c r="B1270" t="s">
        <v>62</v>
      </c>
      <c r="C1270" t="s">
        <v>90</v>
      </c>
      <c r="D1270" t="s">
        <v>62</v>
      </c>
      <c r="J1270" s="8">
        <f>IF(Tableau3[[#This Row],[prospet]]=0,0,Tableau3[[#This Row],[Ventes]]/Tableau3[[#This Row],[prospet]])</f>
        <v>0</v>
      </c>
      <c r="K1270">
        <v>4221767</v>
      </c>
    </row>
    <row r="1271" spans="1:11" x14ac:dyDescent="0.3">
      <c r="A1271" s="1">
        <v>46227</v>
      </c>
      <c r="B1271" t="s">
        <v>63</v>
      </c>
      <c r="C1271" t="s">
        <v>91</v>
      </c>
      <c r="D1271" t="s">
        <v>154</v>
      </c>
      <c r="J1271" s="8">
        <f>IF(Tableau3[[#This Row],[prospet]]=0,0,Tableau3[[#This Row],[Ventes]]/Tableau3[[#This Row],[prospet]])</f>
        <v>0</v>
      </c>
      <c r="K1271">
        <v>4463888</v>
      </c>
    </row>
    <row r="1272" spans="1:11" x14ac:dyDescent="0.3">
      <c r="A1272" s="1">
        <v>46227</v>
      </c>
      <c r="B1272" t="s">
        <v>81</v>
      </c>
      <c r="C1272" t="s">
        <v>92</v>
      </c>
      <c r="D1272" t="s">
        <v>81</v>
      </c>
      <c r="J1272" s="8">
        <f>IF(Tableau3[[#This Row],[prospet]]=0,0,Tableau3[[#This Row],[Ventes]]/Tableau3[[#This Row],[prospet]])</f>
        <v>0</v>
      </c>
      <c r="K1272">
        <v>4559847</v>
      </c>
    </row>
    <row r="1273" spans="1:11" x14ac:dyDescent="0.3">
      <c r="A1273" s="1">
        <v>46227</v>
      </c>
      <c r="B1273" t="s">
        <v>80</v>
      </c>
      <c r="C1273" t="s">
        <v>94</v>
      </c>
      <c r="D1273" t="s">
        <v>155</v>
      </c>
      <c r="J1273" s="8">
        <f>IF(Tableau3[[#This Row],[prospet]]=0,0,Tableau3[[#This Row],[Ventes]]/Tableau3[[#This Row],[prospet]])</f>
        <v>0</v>
      </c>
      <c r="K1273">
        <v>4636772</v>
      </c>
    </row>
    <row r="1274" spans="1:11" x14ac:dyDescent="0.3">
      <c r="A1274" s="1">
        <v>46227</v>
      </c>
      <c r="B1274" t="s">
        <v>83</v>
      </c>
      <c r="C1274" t="s">
        <v>95</v>
      </c>
      <c r="D1274" t="s">
        <v>83</v>
      </c>
      <c r="J1274" s="8">
        <f>IF(Tableau3[[#This Row],[prospet]]=0,0,Tableau3[[#This Row],[Ventes]]/Tableau3[[#This Row],[prospet]])</f>
        <v>0</v>
      </c>
      <c r="K1274">
        <v>3947053</v>
      </c>
    </row>
    <row r="1275" spans="1:11" x14ac:dyDescent="0.3">
      <c r="A1275" s="1">
        <v>46227</v>
      </c>
      <c r="B1275" t="s">
        <v>84</v>
      </c>
      <c r="C1275" t="s">
        <v>96</v>
      </c>
      <c r="D1275" t="s">
        <v>84</v>
      </c>
      <c r="J1275" s="8">
        <f>IF(Tableau3[[#This Row],[prospet]]=0,0,Tableau3[[#This Row],[Ventes]]/Tableau3[[#This Row],[prospet]])</f>
        <v>0</v>
      </c>
      <c r="K1275">
        <v>4587817</v>
      </c>
    </row>
    <row r="1276" spans="1:11" x14ac:dyDescent="0.3">
      <c r="A1276" s="1">
        <v>46227</v>
      </c>
      <c r="B1276" t="s">
        <v>98</v>
      </c>
      <c r="C1276" t="s">
        <v>99</v>
      </c>
      <c r="D1276" t="s">
        <v>98</v>
      </c>
      <c r="J1276" s="8">
        <f>IF(Tableau3[[#This Row],[prospet]]=0,0,Tableau3[[#This Row],[Ventes]]/Tableau3[[#This Row],[prospet]])</f>
        <v>0</v>
      </c>
      <c r="K1276">
        <v>3330821</v>
      </c>
    </row>
    <row r="1277" spans="1:11" x14ac:dyDescent="0.3">
      <c r="A1277" s="1">
        <v>46227</v>
      </c>
      <c r="B1277" t="s">
        <v>187</v>
      </c>
      <c r="D1277" t="s">
        <v>187</v>
      </c>
      <c r="J1277" s="8">
        <f>IF(Tableau3[[#This Row],[prospet]]=0,0,Tableau3[[#This Row],[Ventes]]/Tableau3[[#This Row],[prospet]])</f>
        <v>0</v>
      </c>
    </row>
    <row r="1278" spans="1:11" x14ac:dyDescent="0.3">
      <c r="A1278" s="1">
        <v>46227</v>
      </c>
      <c r="B1278" t="s">
        <v>204</v>
      </c>
      <c r="D1278" t="s">
        <v>205</v>
      </c>
      <c r="J1278" s="8">
        <f>IF(Tableau3[[#This Row],[prospet]]=0,0,Tableau3[[#This Row],[Ventes]]/Tableau3[[#This Row],[prospet]])</f>
        <v>0</v>
      </c>
    </row>
    <row r="1279" spans="1:11" x14ac:dyDescent="0.3">
      <c r="A1279" s="1">
        <v>46227</v>
      </c>
      <c r="B1279" t="s">
        <v>246</v>
      </c>
      <c r="D1279" t="s">
        <v>246</v>
      </c>
      <c r="J1279" s="8">
        <f>IF(Tableau3[[#This Row],[prospet]]=0,0,Tableau3[[#This Row],[Ventes]]/Tableau3[[#This Row],[prospet]])</f>
        <v>0</v>
      </c>
    </row>
    <row r="1280" spans="1:11" x14ac:dyDescent="0.3">
      <c r="A1280" s="1">
        <v>46228</v>
      </c>
      <c r="B1280" t="s">
        <v>16</v>
      </c>
      <c r="C1280" t="s">
        <v>85</v>
      </c>
      <c r="D1280" t="s">
        <v>18</v>
      </c>
      <c r="E1280">
        <v>101</v>
      </c>
      <c r="F1280">
        <v>1</v>
      </c>
      <c r="G1280" s="2">
        <v>2.58</v>
      </c>
      <c r="H1280">
        <v>10000</v>
      </c>
      <c r="I1280">
        <v>1500</v>
      </c>
      <c r="J1280" s="8">
        <f>IF(Tableau3[[#This Row],[prospet]]=0,0,Tableau3[[#This Row],[Ventes]]/Tableau3[[#This Row],[prospet]])</f>
        <v>9.9009900990099011E-3</v>
      </c>
      <c r="K1280">
        <v>4316190</v>
      </c>
    </row>
    <row r="1281" spans="1:11" x14ac:dyDescent="0.3">
      <c r="A1281" s="1">
        <v>46228</v>
      </c>
      <c r="B1281" t="s">
        <v>9</v>
      </c>
      <c r="C1281" t="s">
        <v>86</v>
      </c>
      <c r="D1281" t="s">
        <v>13</v>
      </c>
      <c r="E1281">
        <v>14</v>
      </c>
      <c r="G1281" s="2">
        <v>0.3</v>
      </c>
      <c r="J1281" s="8">
        <f>IF(Tableau3[[#This Row],[prospet]]=0,0,Tableau3[[#This Row],[Ventes]]/Tableau3[[#This Row],[prospet]])</f>
        <v>0</v>
      </c>
      <c r="K1281">
        <v>4554529</v>
      </c>
    </row>
    <row r="1282" spans="1:11" x14ac:dyDescent="0.3">
      <c r="A1282" s="1">
        <v>46228</v>
      </c>
      <c r="B1282" t="s">
        <v>43</v>
      </c>
      <c r="C1282" t="s">
        <v>11</v>
      </c>
      <c r="D1282" t="s">
        <v>43</v>
      </c>
      <c r="J1282" s="8">
        <f>IF(Tableau3[[#This Row],[prospet]]=0,0,Tableau3[[#This Row],[Ventes]]/Tableau3[[#This Row],[prospet]])</f>
        <v>0</v>
      </c>
      <c r="K1282">
        <v>4348553</v>
      </c>
    </row>
    <row r="1283" spans="1:11" x14ac:dyDescent="0.3">
      <c r="A1283" s="1">
        <v>46228</v>
      </c>
      <c r="B1283" t="s">
        <v>30</v>
      </c>
      <c r="C1283" t="s">
        <v>88</v>
      </c>
      <c r="D1283" t="s">
        <v>30</v>
      </c>
      <c r="E1283">
        <v>2</v>
      </c>
      <c r="F1283">
        <v>1</v>
      </c>
      <c r="H1283">
        <v>17500</v>
      </c>
      <c r="I1283">
        <v>2500</v>
      </c>
      <c r="J1283" s="8">
        <f>IF(Tableau3[[#This Row],[prospet]]=0,0,Tableau3[[#This Row],[Ventes]]/Tableau3[[#This Row],[prospet]])</f>
        <v>0.5</v>
      </c>
      <c r="K1283">
        <v>4586158</v>
      </c>
    </row>
    <row r="1284" spans="1:11" x14ac:dyDescent="0.3">
      <c r="A1284" s="1">
        <v>46228</v>
      </c>
      <c r="B1284" t="s">
        <v>3</v>
      </c>
      <c r="C1284" t="s">
        <v>89</v>
      </c>
      <c r="D1284" t="s">
        <v>3</v>
      </c>
      <c r="J1284" s="8">
        <f>IF(Tableau3[[#This Row],[prospet]]=0,0,Tableau3[[#This Row],[Ventes]]/Tableau3[[#This Row],[prospet]])</f>
        <v>0</v>
      </c>
      <c r="K1284">
        <v>4561858</v>
      </c>
    </row>
    <row r="1285" spans="1:11" x14ac:dyDescent="0.3">
      <c r="A1285" s="1">
        <v>46228</v>
      </c>
      <c r="B1285" t="s">
        <v>62</v>
      </c>
      <c r="C1285" t="s">
        <v>90</v>
      </c>
      <c r="D1285" t="s">
        <v>62</v>
      </c>
      <c r="J1285" s="8">
        <f>IF(Tableau3[[#This Row],[prospet]]=0,0,Tableau3[[#This Row],[Ventes]]/Tableau3[[#This Row],[prospet]])</f>
        <v>0</v>
      </c>
      <c r="K1285">
        <v>4221767</v>
      </c>
    </row>
    <row r="1286" spans="1:11" x14ac:dyDescent="0.3">
      <c r="A1286" s="1">
        <v>46228</v>
      </c>
      <c r="B1286" t="s">
        <v>63</v>
      </c>
      <c r="C1286" t="s">
        <v>91</v>
      </c>
      <c r="D1286" t="s">
        <v>154</v>
      </c>
      <c r="E1286">
        <v>12</v>
      </c>
      <c r="G1286" s="2">
        <v>0.56000000000000005</v>
      </c>
      <c r="J1286" s="8">
        <f>IF(Tableau3[[#This Row],[prospet]]=0,0,Tableau3[[#This Row],[Ventes]]/Tableau3[[#This Row],[prospet]])</f>
        <v>0</v>
      </c>
      <c r="K1286">
        <v>4463888</v>
      </c>
    </row>
    <row r="1287" spans="1:11" x14ac:dyDescent="0.3">
      <c r="A1287" s="1">
        <v>46228</v>
      </c>
      <c r="B1287" t="s">
        <v>81</v>
      </c>
      <c r="C1287" t="s">
        <v>92</v>
      </c>
      <c r="D1287" t="s">
        <v>81</v>
      </c>
      <c r="J1287" s="8">
        <f>IF(Tableau3[[#This Row],[prospet]]=0,0,Tableau3[[#This Row],[Ventes]]/Tableau3[[#This Row],[prospet]])</f>
        <v>0</v>
      </c>
      <c r="K1287">
        <v>4559847</v>
      </c>
    </row>
    <row r="1288" spans="1:11" x14ac:dyDescent="0.3">
      <c r="A1288" s="1">
        <v>46228</v>
      </c>
      <c r="B1288" t="s">
        <v>80</v>
      </c>
      <c r="C1288" t="s">
        <v>94</v>
      </c>
      <c r="D1288" t="s">
        <v>155</v>
      </c>
      <c r="E1288">
        <v>24</v>
      </c>
      <c r="F1288">
        <v>3</v>
      </c>
      <c r="G1288" s="2">
        <v>0.82</v>
      </c>
      <c r="H1288">
        <f>12500+12500+7500</f>
        <v>32500</v>
      </c>
      <c r="I1288">
        <f>2500+2500+1500</f>
        <v>6500</v>
      </c>
      <c r="J1288" s="8">
        <f>IF(Tableau3[[#This Row],[prospet]]=0,0,Tableau3[[#This Row],[Ventes]]/Tableau3[[#This Row],[prospet]])</f>
        <v>0.125</v>
      </c>
      <c r="K1288">
        <v>4636772</v>
      </c>
    </row>
    <row r="1289" spans="1:11" x14ac:dyDescent="0.3">
      <c r="A1289" s="1">
        <v>46228</v>
      </c>
      <c r="B1289" t="s">
        <v>83</v>
      </c>
      <c r="C1289" t="s">
        <v>95</v>
      </c>
      <c r="D1289" t="s">
        <v>83</v>
      </c>
      <c r="J1289" s="8">
        <f>IF(Tableau3[[#This Row],[prospet]]=0,0,Tableau3[[#This Row],[Ventes]]/Tableau3[[#This Row],[prospet]])</f>
        <v>0</v>
      </c>
      <c r="K1289">
        <v>3947053</v>
      </c>
    </row>
    <row r="1290" spans="1:11" x14ac:dyDescent="0.3">
      <c r="A1290" s="1">
        <v>46228</v>
      </c>
      <c r="B1290" t="s">
        <v>84</v>
      </c>
      <c r="C1290" t="s">
        <v>96</v>
      </c>
      <c r="D1290" t="s">
        <v>84</v>
      </c>
      <c r="E1290">
        <v>5</v>
      </c>
      <c r="G1290" s="2">
        <v>0.42</v>
      </c>
      <c r="J1290" s="8">
        <f>IF(Tableau3[[#This Row],[prospet]]=0,0,Tableau3[[#This Row],[Ventes]]/Tableau3[[#This Row],[prospet]])</f>
        <v>0</v>
      </c>
      <c r="K1290">
        <v>4587817</v>
      </c>
    </row>
    <row r="1291" spans="1:11" x14ac:dyDescent="0.3">
      <c r="A1291" s="1">
        <v>46228</v>
      </c>
      <c r="B1291" t="s">
        <v>98</v>
      </c>
      <c r="C1291" t="s">
        <v>99</v>
      </c>
      <c r="D1291" t="s">
        <v>98</v>
      </c>
      <c r="J1291" s="8">
        <f>IF(Tableau3[[#This Row],[prospet]]=0,0,Tableau3[[#This Row],[Ventes]]/Tableau3[[#This Row],[prospet]])</f>
        <v>0</v>
      </c>
      <c r="K1291">
        <v>3330821</v>
      </c>
    </row>
    <row r="1292" spans="1:11" x14ac:dyDescent="0.3">
      <c r="A1292" s="1">
        <v>46228</v>
      </c>
      <c r="B1292" t="s">
        <v>187</v>
      </c>
      <c r="D1292" t="s">
        <v>187</v>
      </c>
      <c r="E1292">
        <v>10</v>
      </c>
      <c r="G1292" s="2">
        <v>0.35</v>
      </c>
      <c r="J1292" s="8">
        <f>IF(Tableau3[[#This Row],[prospet]]=0,0,Tableau3[[#This Row],[Ventes]]/Tableau3[[#This Row],[prospet]])</f>
        <v>0</v>
      </c>
    </row>
    <row r="1293" spans="1:11" x14ac:dyDescent="0.3">
      <c r="A1293" s="1">
        <v>46228</v>
      </c>
      <c r="B1293" t="s">
        <v>204</v>
      </c>
      <c r="D1293" t="s">
        <v>204</v>
      </c>
      <c r="E1293">
        <v>30</v>
      </c>
      <c r="G1293" s="2">
        <v>0.88</v>
      </c>
      <c r="J1293" s="8">
        <f>IF(Tableau3[[#This Row],[prospet]]=0,0,Tableau3[[#This Row],[Ventes]]/Tableau3[[#This Row],[prospet]])</f>
        <v>0</v>
      </c>
    </row>
    <row r="1294" spans="1:11" x14ac:dyDescent="0.3">
      <c r="A1294" s="1">
        <v>46228</v>
      </c>
      <c r="B1294" t="s">
        <v>246</v>
      </c>
      <c r="D1294" t="s">
        <v>246</v>
      </c>
      <c r="J1294" s="8">
        <f>IF(Tableau3[[#This Row],[prospet]]=0,0,Tableau3[[#This Row],[Ventes]]/Tableau3[[#This Row],[prospet]])</f>
        <v>0</v>
      </c>
    </row>
    <row r="1295" spans="1:11" x14ac:dyDescent="0.3">
      <c r="A1295" s="1">
        <v>46229</v>
      </c>
      <c r="B1295" t="s">
        <v>16</v>
      </c>
      <c r="C1295" t="s">
        <v>85</v>
      </c>
      <c r="D1295" t="s">
        <v>18</v>
      </c>
      <c r="E1295">
        <v>2</v>
      </c>
      <c r="F1295">
        <v>1</v>
      </c>
      <c r="G1295" s="2">
        <v>0.05</v>
      </c>
      <c r="H1295">
        <v>10000</v>
      </c>
      <c r="I1295">
        <v>1500</v>
      </c>
      <c r="J1295" s="8">
        <f>IF(Tableau3[[#This Row],[prospet]]=0,0,Tableau3[[#This Row],[Ventes]]/Tableau3[[#This Row],[prospet]])</f>
        <v>0.5</v>
      </c>
      <c r="K1295">
        <v>4316190</v>
      </c>
    </row>
    <row r="1296" spans="1:11" x14ac:dyDescent="0.3">
      <c r="A1296" s="1">
        <v>46229</v>
      </c>
      <c r="B1296" t="s">
        <v>9</v>
      </c>
      <c r="C1296" t="s">
        <v>86</v>
      </c>
      <c r="D1296" t="s">
        <v>13</v>
      </c>
      <c r="E1296">
        <v>4</v>
      </c>
      <c r="G1296" s="2">
        <v>0.03</v>
      </c>
      <c r="J1296" s="8">
        <f>IF(Tableau3[[#This Row],[prospet]]=0,0,Tableau3[[#This Row],[Ventes]]/Tableau3[[#This Row],[prospet]])</f>
        <v>0</v>
      </c>
      <c r="K1296">
        <v>4554529</v>
      </c>
    </row>
    <row r="1297" spans="1:11" x14ac:dyDescent="0.3">
      <c r="A1297" s="1">
        <v>46229</v>
      </c>
      <c r="B1297" t="s">
        <v>43</v>
      </c>
      <c r="C1297" t="s">
        <v>11</v>
      </c>
      <c r="D1297" t="s">
        <v>43</v>
      </c>
      <c r="E1297">
        <v>2</v>
      </c>
      <c r="G1297" s="2">
        <v>0.38</v>
      </c>
      <c r="J1297" s="8">
        <f>IF(Tableau3[[#This Row],[prospet]]=0,0,Tableau3[[#This Row],[Ventes]]/Tableau3[[#This Row],[prospet]])</f>
        <v>0</v>
      </c>
      <c r="K1297">
        <v>4348553</v>
      </c>
    </row>
    <row r="1298" spans="1:11" x14ac:dyDescent="0.3">
      <c r="A1298" s="1">
        <v>46229</v>
      </c>
      <c r="B1298" t="s">
        <v>30</v>
      </c>
      <c r="C1298" t="s">
        <v>88</v>
      </c>
      <c r="D1298" t="s">
        <v>30</v>
      </c>
      <c r="F1298">
        <v>1</v>
      </c>
      <c r="H1298">
        <v>4000</v>
      </c>
      <c r="I1298">
        <v>1000</v>
      </c>
      <c r="J1298" s="8">
        <f>IF(Tableau3[[#This Row],[prospet]]=0,0,Tableau3[[#This Row],[Ventes]]/Tableau3[[#This Row],[prospet]])</f>
        <v>0</v>
      </c>
      <c r="K1298">
        <v>4586158</v>
      </c>
    </row>
    <row r="1299" spans="1:11" x14ac:dyDescent="0.3">
      <c r="A1299" s="1">
        <v>46229</v>
      </c>
      <c r="B1299" t="s">
        <v>3</v>
      </c>
      <c r="C1299" t="s">
        <v>89</v>
      </c>
      <c r="D1299" t="s">
        <v>3</v>
      </c>
      <c r="J1299" s="8">
        <f>IF(Tableau3[[#This Row],[prospet]]=0,0,Tableau3[[#This Row],[Ventes]]/Tableau3[[#This Row],[prospet]])</f>
        <v>0</v>
      </c>
      <c r="K1299">
        <v>4561858</v>
      </c>
    </row>
    <row r="1300" spans="1:11" x14ac:dyDescent="0.3">
      <c r="A1300" s="1">
        <v>46229</v>
      </c>
      <c r="B1300" t="s">
        <v>62</v>
      </c>
      <c r="C1300" t="s">
        <v>90</v>
      </c>
      <c r="D1300" t="s">
        <v>62</v>
      </c>
      <c r="J1300" s="8">
        <f>IF(Tableau3[[#This Row],[prospet]]=0,0,Tableau3[[#This Row],[Ventes]]/Tableau3[[#This Row],[prospet]])</f>
        <v>0</v>
      </c>
      <c r="K1300">
        <v>4221767</v>
      </c>
    </row>
    <row r="1301" spans="1:11" x14ac:dyDescent="0.3">
      <c r="A1301" s="1">
        <v>46229</v>
      </c>
      <c r="B1301" t="s">
        <v>63</v>
      </c>
      <c r="C1301" t="s">
        <v>91</v>
      </c>
      <c r="D1301" t="s">
        <v>154</v>
      </c>
      <c r="J1301" s="8">
        <f>IF(Tableau3[[#This Row],[prospet]]=0,0,Tableau3[[#This Row],[Ventes]]/Tableau3[[#This Row],[prospet]])</f>
        <v>0</v>
      </c>
      <c r="K1301">
        <v>4463888</v>
      </c>
    </row>
    <row r="1302" spans="1:11" x14ac:dyDescent="0.3">
      <c r="A1302" s="1">
        <v>46229</v>
      </c>
      <c r="B1302" t="s">
        <v>81</v>
      </c>
      <c r="C1302" t="s">
        <v>92</v>
      </c>
      <c r="D1302" t="s">
        <v>81</v>
      </c>
      <c r="J1302" s="8">
        <f>IF(Tableau3[[#This Row],[prospet]]=0,0,Tableau3[[#This Row],[Ventes]]/Tableau3[[#This Row],[prospet]])</f>
        <v>0</v>
      </c>
      <c r="K1302">
        <v>4559847</v>
      </c>
    </row>
    <row r="1303" spans="1:11" x14ac:dyDescent="0.3">
      <c r="A1303" s="1">
        <v>46229</v>
      </c>
      <c r="B1303" t="s">
        <v>80</v>
      </c>
      <c r="C1303" t="s">
        <v>94</v>
      </c>
      <c r="D1303" t="s">
        <v>155</v>
      </c>
      <c r="E1303">
        <v>15</v>
      </c>
      <c r="G1303" s="2">
        <v>0.4</v>
      </c>
      <c r="J1303" s="8">
        <f>IF(Tableau3[[#This Row],[prospet]]=0,0,Tableau3[[#This Row],[Ventes]]/Tableau3[[#This Row],[prospet]])</f>
        <v>0</v>
      </c>
      <c r="K1303">
        <v>4636772</v>
      </c>
    </row>
    <row r="1304" spans="1:11" x14ac:dyDescent="0.3">
      <c r="A1304" s="1">
        <v>46229</v>
      </c>
      <c r="B1304" t="s">
        <v>83</v>
      </c>
      <c r="C1304" t="s">
        <v>95</v>
      </c>
      <c r="D1304" t="s">
        <v>83</v>
      </c>
      <c r="J1304" s="8">
        <f>IF(Tableau3[[#This Row],[prospet]]=0,0,Tableau3[[#This Row],[Ventes]]/Tableau3[[#This Row],[prospet]])</f>
        <v>0</v>
      </c>
      <c r="K1304">
        <v>3947053</v>
      </c>
    </row>
    <row r="1305" spans="1:11" x14ac:dyDescent="0.3">
      <c r="A1305" s="1">
        <v>46229</v>
      </c>
      <c r="B1305" t="s">
        <v>84</v>
      </c>
      <c r="C1305" t="s">
        <v>96</v>
      </c>
      <c r="D1305" t="s">
        <v>84</v>
      </c>
      <c r="J1305" s="8">
        <f>IF(Tableau3[[#This Row],[prospet]]=0,0,Tableau3[[#This Row],[Ventes]]/Tableau3[[#This Row],[prospet]])</f>
        <v>0</v>
      </c>
      <c r="K1305">
        <v>4587817</v>
      </c>
    </row>
    <row r="1306" spans="1:11" x14ac:dyDescent="0.3">
      <c r="A1306" s="1">
        <v>46229</v>
      </c>
      <c r="B1306" t="s">
        <v>98</v>
      </c>
      <c r="C1306" t="s">
        <v>99</v>
      </c>
      <c r="D1306" t="s">
        <v>98</v>
      </c>
      <c r="J1306" s="8">
        <f>IF(Tableau3[[#This Row],[prospet]]=0,0,Tableau3[[#This Row],[Ventes]]/Tableau3[[#This Row],[prospet]])</f>
        <v>0</v>
      </c>
      <c r="K1306">
        <v>3330821</v>
      </c>
    </row>
    <row r="1307" spans="1:11" x14ac:dyDescent="0.3">
      <c r="A1307" s="1">
        <v>46229</v>
      </c>
      <c r="B1307" t="s">
        <v>187</v>
      </c>
      <c r="D1307" t="s">
        <v>187</v>
      </c>
      <c r="E1307">
        <v>1</v>
      </c>
      <c r="G1307" s="2">
        <v>0.05</v>
      </c>
      <c r="J1307" s="8">
        <f>IF(Tableau3[[#This Row],[prospet]]=0,0,Tableau3[[#This Row],[Ventes]]/Tableau3[[#This Row],[prospet]])</f>
        <v>0</v>
      </c>
    </row>
    <row r="1308" spans="1:11" x14ac:dyDescent="0.3">
      <c r="A1308" s="1">
        <v>46229</v>
      </c>
      <c r="B1308" t="s">
        <v>204</v>
      </c>
      <c r="D1308" t="s">
        <v>204</v>
      </c>
      <c r="E1308">
        <v>3</v>
      </c>
      <c r="G1308" s="2">
        <v>0.18</v>
      </c>
      <c r="J1308" s="8">
        <f>IF(Tableau3[[#This Row],[prospet]]=0,0,Tableau3[[#This Row],[Ventes]]/Tableau3[[#This Row],[prospet]])</f>
        <v>0</v>
      </c>
    </row>
    <row r="1309" spans="1:11" x14ac:dyDescent="0.3">
      <c r="A1309" s="1">
        <v>46229</v>
      </c>
      <c r="B1309" t="s">
        <v>246</v>
      </c>
      <c r="D1309" t="s">
        <v>246</v>
      </c>
      <c r="J1309" s="8">
        <f>IF(Tableau3[[#This Row],[prospet]]=0,0,Tableau3[[#This Row],[Ventes]]/Tableau3[[#This Row],[prospet]])</f>
        <v>0</v>
      </c>
    </row>
    <row r="1310" spans="1:11" x14ac:dyDescent="0.3">
      <c r="A1310" s="1">
        <v>46230</v>
      </c>
      <c r="B1310" t="s">
        <v>16</v>
      </c>
      <c r="C1310" t="s">
        <v>85</v>
      </c>
      <c r="D1310" t="s">
        <v>18</v>
      </c>
      <c r="E1310">
        <v>72</v>
      </c>
      <c r="F1310">
        <v>1</v>
      </c>
      <c r="G1310" s="2">
        <v>2.36</v>
      </c>
      <c r="H1310">
        <v>12500</v>
      </c>
      <c r="I1310">
        <v>2500</v>
      </c>
      <c r="J1310" s="8">
        <f>IF(Tableau3[[#This Row],[prospet]]=0,0,Tableau3[[#This Row],[Ventes]]/Tableau3[[#This Row],[prospet]])</f>
        <v>1.3888888888888888E-2</v>
      </c>
      <c r="K1310">
        <v>4316190</v>
      </c>
    </row>
    <row r="1311" spans="1:11" x14ac:dyDescent="0.3">
      <c r="A1311" s="1">
        <v>46230</v>
      </c>
      <c r="B1311" t="s">
        <v>9</v>
      </c>
      <c r="C1311" t="s">
        <v>86</v>
      </c>
      <c r="D1311" t="s">
        <v>13</v>
      </c>
      <c r="E1311">
        <v>54</v>
      </c>
      <c r="G1311" s="2">
        <v>2.48</v>
      </c>
      <c r="J1311" s="8">
        <f>IF(Tableau3[[#This Row],[prospet]]=0,0,Tableau3[[#This Row],[Ventes]]/Tableau3[[#This Row],[prospet]])</f>
        <v>0</v>
      </c>
      <c r="K1311">
        <v>4554529</v>
      </c>
    </row>
    <row r="1312" spans="1:11" x14ac:dyDescent="0.3">
      <c r="A1312" s="1">
        <v>46230</v>
      </c>
      <c r="B1312" t="s">
        <v>43</v>
      </c>
      <c r="C1312" t="s">
        <v>11</v>
      </c>
      <c r="D1312" t="s">
        <v>43</v>
      </c>
      <c r="E1312">
        <v>22</v>
      </c>
      <c r="G1312" s="2">
        <v>1.33</v>
      </c>
      <c r="J1312" s="8">
        <f>IF(Tableau3[[#This Row],[prospet]]=0,0,Tableau3[[#This Row],[Ventes]]/Tableau3[[#This Row],[prospet]])</f>
        <v>0</v>
      </c>
      <c r="K1312">
        <v>4348553</v>
      </c>
    </row>
    <row r="1313" spans="1:11" x14ac:dyDescent="0.3">
      <c r="A1313" s="1">
        <v>46230</v>
      </c>
      <c r="B1313" t="s">
        <v>30</v>
      </c>
      <c r="C1313" t="s">
        <v>88</v>
      </c>
      <c r="D1313" t="s">
        <v>30</v>
      </c>
      <c r="E1313">
        <v>42</v>
      </c>
      <c r="F1313">
        <v>3</v>
      </c>
      <c r="G1313" s="2">
        <v>2.78</v>
      </c>
      <c r="H1313">
        <f>25000+10000</f>
        <v>35000</v>
      </c>
      <c r="I1313">
        <f>5000+1500</f>
        <v>6500</v>
      </c>
      <c r="J1313" s="8">
        <f>IF(Tableau3[[#This Row],[prospet]]=0,0,Tableau3[[#This Row],[Ventes]]/Tableau3[[#This Row],[prospet]])</f>
        <v>7.1428571428571425E-2</v>
      </c>
      <c r="K1313">
        <v>4586158</v>
      </c>
    </row>
    <row r="1314" spans="1:11" x14ac:dyDescent="0.3">
      <c r="A1314" s="1">
        <v>46230</v>
      </c>
      <c r="B1314" t="s">
        <v>3</v>
      </c>
      <c r="C1314" t="s">
        <v>89</v>
      </c>
      <c r="D1314" t="s">
        <v>3</v>
      </c>
      <c r="J1314" s="8">
        <f>IF(Tableau3[[#This Row],[prospet]]=0,0,Tableau3[[#This Row],[Ventes]]/Tableau3[[#This Row],[prospet]])</f>
        <v>0</v>
      </c>
      <c r="K1314">
        <v>4561858</v>
      </c>
    </row>
    <row r="1315" spans="1:11" x14ac:dyDescent="0.3">
      <c r="A1315" s="1">
        <v>46230</v>
      </c>
      <c r="B1315" t="s">
        <v>62</v>
      </c>
      <c r="C1315" t="s">
        <v>90</v>
      </c>
      <c r="D1315" t="s">
        <v>62</v>
      </c>
      <c r="J1315" s="8">
        <f>IF(Tableau3[[#This Row],[prospet]]=0,0,Tableau3[[#This Row],[Ventes]]/Tableau3[[#This Row],[prospet]])</f>
        <v>0</v>
      </c>
      <c r="K1315">
        <v>4221767</v>
      </c>
    </row>
    <row r="1316" spans="1:11" x14ac:dyDescent="0.3">
      <c r="A1316" s="1">
        <v>46230</v>
      </c>
      <c r="B1316" t="s">
        <v>63</v>
      </c>
      <c r="C1316" t="s">
        <v>91</v>
      </c>
      <c r="D1316" t="s">
        <v>154</v>
      </c>
      <c r="J1316" s="8">
        <f>IF(Tableau3[[#This Row],[prospet]]=0,0,Tableau3[[#This Row],[Ventes]]/Tableau3[[#This Row],[prospet]])</f>
        <v>0</v>
      </c>
      <c r="K1316">
        <v>4463888</v>
      </c>
    </row>
    <row r="1317" spans="1:11" x14ac:dyDescent="0.3">
      <c r="A1317" s="1">
        <v>46230</v>
      </c>
      <c r="B1317" t="s">
        <v>81</v>
      </c>
      <c r="C1317" t="s">
        <v>92</v>
      </c>
      <c r="D1317" t="s">
        <v>81</v>
      </c>
      <c r="J1317" s="8">
        <f>IF(Tableau3[[#This Row],[prospet]]=0,0,Tableau3[[#This Row],[Ventes]]/Tableau3[[#This Row],[prospet]])</f>
        <v>0</v>
      </c>
      <c r="K1317">
        <v>4559847</v>
      </c>
    </row>
    <row r="1318" spans="1:11" x14ac:dyDescent="0.3">
      <c r="A1318" s="1">
        <v>46230</v>
      </c>
      <c r="B1318" t="s">
        <v>80</v>
      </c>
      <c r="C1318" t="s">
        <v>94</v>
      </c>
      <c r="D1318" t="s">
        <v>155</v>
      </c>
      <c r="E1318">
        <v>50</v>
      </c>
      <c r="F1318">
        <v>3</v>
      </c>
      <c r="G1318" s="2">
        <v>3</v>
      </c>
      <c r="H1318">
        <f>12500+12500+12500</f>
        <v>37500</v>
      </c>
      <c r="I1318">
        <f>2500+2500+2500</f>
        <v>7500</v>
      </c>
      <c r="J1318" s="8">
        <f>IF(Tableau3[[#This Row],[prospet]]=0,0,Tableau3[[#This Row],[Ventes]]/Tableau3[[#This Row],[prospet]])</f>
        <v>0.06</v>
      </c>
      <c r="K1318">
        <v>4636772</v>
      </c>
    </row>
    <row r="1319" spans="1:11" x14ac:dyDescent="0.3">
      <c r="A1319" s="1">
        <v>46230</v>
      </c>
      <c r="B1319" t="s">
        <v>83</v>
      </c>
      <c r="C1319" t="s">
        <v>95</v>
      </c>
      <c r="D1319" t="s">
        <v>83</v>
      </c>
      <c r="J1319" s="8">
        <f>IF(Tableau3[[#This Row],[prospet]]=0,0,Tableau3[[#This Row],[Ventes]]/Tableau3[[#This Row],[prospet]])</f>
        <v>0</v>
      </c>
      <c r="K1319">
        <v>3947053</v>
      </c>
    </row>
    <row r="1320" spans="1:11" x14ac:dyDescent="0.3">
      <c r="A1320" s="1">
        <v>46230</v>
      </c>
      <c r="B1320" t="s">
        <v>84</v>
      </c>
      <c r="C1320" t="s">
        <v>96</v>
      </c>
      <c r="D1320" t="s">
        <v>84</v>
      </c>
      <c r="E1320">
        <v>11</v>
      </c>
      <c r="G1320" s="2">
        <v>0.56999999999999995</v>
      </c>
      <c r="J1320" s="8">
        <f>IF(Tableau3[[#This Row],[prospet]]=0,0,Tableau3[[#This Row],[Ventes]]/Tableau3[[#This Row],[prospet]])</f>
        <v>0</v>
      </c>
      <c r="K1320">
        <v>4587817</v>
      </c>
    </row>
    <row r="1321" spans="1:11" x14ac:dyDescent="0.3">
      <c r="A1321" s="1">
        <v>46230</v>
      </c>
      <c r="B1321" t="s">
        <v>98</v>
      </c>
      <c r="C1321" t="s">
        <v>99</v>
      </c>
      <c r="D1321" t="s">
        <v>98</v>
      </c>
      <c r="J1321" s="8">
        <f>IF(Tableau3[[#This Row],[prospet]]=0,0,Tableau3[[#This Row],[Ventes]]/Tableau3[[#This Row],[prospet]])</f>
        <v>0</v>
      </c>
      <c r="K1321">
        <v>3330821</v>
      </c>
    </row>
    <row r="1322" spans="1:11" x14ac:dyDescent="0.3">
      <c r="A1322" s="1">
        <v>46230</v>
      </c>
      <c r="B1322" t="s">
        <v>187</v>
      </c>
      <c r="D1322" t="s">
        <v>187</v>
      </c>
      <c r="E1322">
        <v>30</v>
      </c>
      <c r="G1322" s="2">
        <v>1.18</v>
      </c>
      <c r="J1322" s="8">
        <f>IF(Tableau3[[#This Row],[prospet]]=0,0,Tableau3[[#This Row],[Ventes]]/Tableau3[[#This Row],[prospet]])</f>
        <v>0</v>
      </c>
    </row>
    <row r="1323" spans="1:11" x14ac:dyDescent="0.3">
      <c r="A1323" s="1">
        <v>46230</v>
      </c>
      <c r="B1323" t="s">
        <v>204</v>
      </c>
      <c r="D1323" t="s">
        <v>204</v>
      </c>
      <c r="E1323">
        <v>34</v>
      </c>
      <c r="F1323">
        <v>6</v>
      </c>
      <c r="G1323" s="2">
        <v>1.58</v>
      </c>
      <c r="H1323">
        <f>12500+12500+12500+10000+5000+12500</f>
        <v>65000</v>
      </c>
      <c r="I1323">
        <f>2500+2500+2500+1500+1000+2500</f>
        <v>12500</v>
      </c>
      <c r="J1323" s="8">
        <f>IF(Tableau3[[#This Row],[prospet]]=0,0,Tableau3[[#This Row],[Ventes]]/Tableau3[[#This Row],[prospet]])</f>
        <v>0.17647058823529413</v>
      </c>
    </row>
    <row r="1324" spans="1:11" x14ac:dyDescent="0.3">
      <c r="A1324" s="1">
        <v>46230</v>
      </c>
      <c r="B1324" t="s">
        <v>259</v>
      </c>
      <c r="D1324" t="s">
        <v>259</v>
      </c>
      <c r="E1324">
        <v>16</v>
      </c>
      <c r="G1324" s="2">
        <v>1.47</v>
      </c>
      <c r="J1324" s="8">
        <f>IF(Tableau3[[#This Row],[prospet]]=0,0,Tableau3[[#This Row],[Ventes]]/Tableau3[[#This Row],[prospet]])</f>
        <v>0</v>
      </c>
    </row>
    <row r="1325" spans="1:11" x14ac:dyDescent="0.3">
      <c r="A1325" s="1">
        <v>46231</v>
      </c>
      <c r="B1325" t="s">
        <v>16</v>
      </c>
      <c r="C1325" t="s">
        <v>85</v>
      </c>
      <c r="D1325" t="s">
        <v>18</v>
      </c>
      <c r="E1325">
        <v>30</v>
      </c>
      <c r="F1325">
        <v>3</v>
      </c>
      <c r="G1325" s="2">
        <v>3.6</v>
      </c>
      <c r="H1325">
        <f>10000+10000+4000</f>
        <v>24000</v>
      </c>
      <c r="I1325">
        <f>1500+1500+1000</f>
        <v>4000</v>
      </c>
      <c r="J1325" s="8">
        <f>IF(Tableau3[[#This Row],[prospet]]=0,0,Tableau3[[#This Row],[Ventes]]/Tableau3[[#This Row],[prospet]])</f>
        <v>0.1</v>
      </c>
      <c r="K1325">
        <v>4316190</v>
      </c>
    </row>
    <row r="1326" spans="1:11" x14ac:dyDescent="0.3">
      <c r="A1326" s="1">
        <v>46231</v>
      </c>
      <c r="B1326" t="s">
        <v>9</v>
      </c>
      <c r="C1326" t="s">
        <v>86</v>
      </c>
      <c r="D1326" t="s">
        <v>13</v>
      </c>
      <c r="E1326">
        <v>27</v>
      </c>
      <c r="F1326">
        <v>2</v>
      </c>
      <c r="G1326" s="2">
        <v>2.33</v>
      </c>
      <c r="H1326">
        <f>4000+10000</f>
        <v>14000</v>
      </c>
      <c r="I1326">
        <f>1000+1500</f>
        <v>2500</v>
      </c>
      <c r="J1326" s="8">
        <f>IF(Tableau3[[#This Row],[prospet]]=0,0,Tableau3[[#This Row],[Ventes]]/Tableau3[[#This Row],[prospet]])</f>
        <v>7.407407407407407E-2</v>
      </c>
      <c r="K1326">
        <v>4554529</v>
      </c>
    </row>
    <row r="1327" spans="1:11" x14ac:dyDescent="0.3">
      <c r="A1327" s="1">
        <v>46231</v>
      </c>
      <c r="B1327" t="s">
        <v>43</v>
      </c>
      <c r="C1327" t="s">
        <v>11</v>
      </c>
      <c r="D1327" t="s">
        <v>43</v>
      </c>
      <c r="E1327">
        <v>15</v>
      </c>
      <c r="F1327">
        <v>1</v>
      </c>
      <c r="G1327" s="2">
        <v>2.38</v>
      </c>
      <c r="H1327">
        <v>5000</v>
      </c>
      <c r="I1327">
        <v>1000</v>
      </c>
      <c r="J1327" s="8">
        <f>IF(Tableau3[[#This Row],[prospet]]=0,0,Tableau3[[#This Row],[Ventes]]/Tableau3[[#This Row],[prospet]])</f>
        <v>6.6666666666666666E-2</v>
      </c>
      <c r="K1327">
        <v>4348553</v>
      </c>
    </row>
    <row r="1328" spans="1:11" x14ac:dyDescent="0.3">
      <c r="A1328" s="1">
        <v>46231</v>
      </c>
      <c r="B1328" t="s">
        <v>30</v>
      </c>
      <c r="C1328" t="s">
        <v>88</v>
      </c>
      <c r="D1328" t="s">
        <v>30</v>
      </c>
      <c r="E1328">
        <v>8</v>
      </c>
      <c r="G1328" s="2">
        <v>1.75</v>
      </c>
      <c r="J1328" s="8">
        <f>IF(Tableau3[[#This Row],[prospet]]=0,0,Tableau3[[#This Row],[Ventes]]/Tableau3[[#This Row],[prospet]])</f>
        <v>0</v>
      </c>
      <c r="K1328">
        <v>4586158</v>
      </c>
    </row>
    <row r="1329" spans="1:11" x14ac:dyDescent="0.3">
      <c r="A1329" s="1">
        <v>46231</v>
      </c>
      <c r="B1329" t="s">
        <v>3</v>
      </c>
      <c r="C1329" t="s">
        <v>89</v>
      </c>
      <c r="D1329" t="s">
        <v>3</v>
      </c>
      <c r="F1329">
        <v>1</v>
      </c>
      <c r="H1329">
        <v>7500</v>
      </c>
      <c r="I1329">
        <v>1500</v>
      </c>
      <c r="J1329" s="8">
        <f>IF(Tableau3[[#This Row],[prospet]]=0,0,Tableau3[[#This Row],[Ventes]]/Tableau3[[#This Row],[prospet]])</f>
        <v>0</v>
      </c>
      <c r="K1329">
        <v>4561858</v>
      </c>
    </row>
    <row r="1330" spans="1:11" x14ac:dyDescent="0.3">
      <c r="A1330" s="1">
        <v>46231</v>
      </c>
      <c r="B1330" t="s">
        <v>62</v>
      </c>
      <c r="C1330" t="s">
        <v>90</v>
      </c>
      <c r="D1330" t="s">
        <v>62</v>
      </c>
      <c r="J1330" s="8">
        <f>IF(Tableau3[[#This Row],[prospet]]=0,0,Tableau3[[#This Row],[Ventes]]/Tableau3[[#This Row],[prospet]])</f>
        <v>0</v>
      </c>
      <c r="K1330">
        <v>4221767</v>
      </c>
    </row>
    <row r="1331" spans="1:11" x14ac:dyDescent="0.3">
      <c r="A1331" s="1">
        <v>46231</v>
      </c>
      <c r="B1331" t="s">
        <v>63</v>
      </c>
      <c r="C1331" t="s">
        <v>91</v>
      </c>
      <c r="D1331" t="s">
        <v>154</v>
      </c>
      <c r="J1331" s="8">
        <f>IF(Tableau3[[#This Row],[prospet]]=0,0,Tableau3[[#This Row],[Ventes]]/Tableau3[[#This Row],[prospet]])</f>
        <v>0</v>
      </c>
      <c r="K1331">
        <v>4463888</v>
      </c>
    </row>
    <row r="1332" spans="1:11" x14ac:dyDescent="0.3">
      <c r="A1332" s="1">
        <v>46231</v>
      </c>
      <c r="B1332" t="s">
        <v>253</v>
      </c>
      <c r="C1332" t="s">
        <v>92</v>
      </c>
      <c r="D1332" t="s">
        <v>253</v>
      </c>
      <c r="E1332">
        <v>10</v>
      </c>
      <c r="G1332" s="2">
        <v>0.75</v>
      </c>
      <c r="J1332" s="8">
        <f>IF(Tableau3[[#This Row],[prospet]]=0,0,Tableau3[[#This Row],[Ventes]]/Tableau3[[#This Row],[prospet]])</f>
        <v>0</v>
      </c>
      <c r="K1332">
        <v>4559847</v>
      </c>
    </row>
    <row r="1333" spans="1:11" x14ac:dyDescent="0.3">
      <c r="A1333" s="1">
        <v>46231</v>
      </c>
      <c r="B1333" t="s">
        <v>80</v>
      </c>
      <c r="C1333" t="s">
        <v>94</v>
      </c>
      <c r="D1333" t="s">
        <v>155</v>
      </c>
      <c r="E1333">
        <v>40</v>
      </c>
      <c r="F1333">
        <v>4</v>
      </c>
      <c r="G1333" s="2">
        <v>2.62</v>
      </c>
      <c r="H1333">
        <f>10000+8000+12500</f>
        <v>30500</v>
      </c>
      <c r="I1333">
        <f>2000+2500+2500</f>
        <v>7000</v>
      </c>
      <c r="J1333" s="8">
        <f>IF(Tableau3[[#This Row],[prospet]]=0,0,Tableau3[[#This Row],[Ventes]]/Tableau3[[#This Row],[prospet]])</f>
        <v>0.1</v>
      </c>
      <c r="K1333">
        <v>4636772</v>
      </c>
    </row>
    <row r="1334" spans="1:11" x14ac:dyDescent="0.3">
      <c r="A1334" s="1">
        <v>46231</v>
      </c>
      <c r="B1334" t="s">
        <v>83</v>
      </c>
      <c r="C1334" t="s">
        <v>95</v>
      </c>
      <c r="D1334" t="s">
        <v>83</v>
      </c>
      <c r="J1334" s="8">
        <f>IF(Tableau3[[#This Row],[prospet]]=0,0,Tableau3[[#This Row],[Ventes]]/Tableau3[[#This Row],[prospet]])</f>
        <v>0</v>
      </c>
      <c r="K1334">
        <v>3947053</v>
      </c>
    </row>
    <row r="1335" spans="1:11" x14ac:dyDescent="0.3">
      <c r="A1335" s="1">
        <v>46231</v>
      </c>
      <c r="B1335" t="s">
        <v>84</v>
      </c>
      <c r="C1335" t="s">
        <v>96</v>
      </c>
      <c r="D1335" t="s">
        <v>84</v>
      </c>
      <c r="E1335">
        <v>50</v>
      </c>
      <c r="F1335">
        <v>1</v>
      </c>
      <c r="G1335" s="2">
        <v>2.88</v>
      </c>
      <c r="H1335">
        <v>17500</v>
      </c>
      <c r="I1335">
        <v>2500</v>
      </c>
      <c r="J1335" s="8">
        <f>IF(Tableau3[[#This Row],[prospet]]=0,0,Tableau3[[#This Row],[Ventes]]/Tableau3[[#This Row],[prospet]])</f>
        <v>0.02</v>
      </c>
      <c r="K1335">
        <v>4587817</v>
      </c>
    </row>
    <row r="1336" spans="1:11" x14ac:dyDescent="0.3">
      <c r="A1336" s="1">
        <v>46231</v>
      </c>
      <c r="B1336" t="s">
        <v>98</v>
      </c>
      <c r="C1336" t="s">
        <v>99</v>
      </c>
      <c r="D1336" t="s">
        <v>98</v>
      </c>
      <c r="J1336" s="8">
        <f>IF(Tableau3[[#This Row],[prospet]]=0,0,Tableau3[[#This Row],[Ventes]]/Tableau3[[#This Row],[prospet]])</f>
        <v>0</v>
      </c>
      <c r="K1336">
        <v>3330821</v>
      </c>
    </row>
    <row r="1337" spans="1:11" x14ac:dyDescent="0.3">
      <c r="A1337" s="1">
        <v>46231</v>
      </c>
      <c r="B1337" t="s">
        <v>187</v>
      </c>
      <c r="D1337" t="s">
        <v>187</v>
      </c>
      <c r="E1337">
        <v>3</v>
      </c>
      <c r="G1337" s="2">
        <v>0.09</v>
      </c>
      <c r="J1337" s="8">
        <f>IF(Tableau3[[#This Row],[prospet]]=0,0,Tableau3[[#This Row],[Ventes]]/Tableau3[[#This Row],[prospet]])</f>
        <v>0</v>
      </c>
    </row>
    <row r="1338" spans="1:11" x14ac:dyDescent="0.3">
      <c r="A1338" s="1">
        <v>46231</v>
      </c>
      <c r="B1338" t="s">
        <v>204</v>
      </c>
      <c r="D1338" t="s">
        <v>204</v>
      </c>
      <c r="E1338">
        <v>46</v>
      </c>
      <c r="F1338">
        <v>1</v>
      </c>
      <c r="G1338" s="2">
        <v>2.2200000000000002</v>
      </c>
      <c r="H1338">
        <v>12500</v>
      </c>
      <c r="I1338">
        <v>2500</v>
      </c>
      <c r="J1338" s="8">
        <f>IF(Tableau3[[#This Row],[prospet]]=0,0,Tableau3[[#This Row],[Ventes]]/Tableau3[[#This Row],[prospet]])</f>
        <v>2.1739130434782608E-2</v>
      </c>
    </row>
    <row r="1339" spans="1:11" x14ac:dyDescent="0.3">
      <c r="A1339" s="1">
        <v>46231</v>
      </c>
      <c r="B1339" t="s">
        <v>259</v>
      </c>
      <c r="D1339" t="s">
        <v>259</v>
      </c>
      <c r="E1339">
        <v>20</v>
      </c>
      <c r="G1339" s="2">
        <v>2.11</v>
      </c>
      <c r="J1339" s="8">
        <f>IF(Tableau3[[#This Row],[prospet]]=0,0,Tableau3[[#This Row],[Ventes]]/Tableau3[[#This Row],[prospet]])</f>
        <v>0</v>
      </c>
    </row>
    <row r="1340" spans="1:11" x14ac:dyDescent="0.3">
      <c r="A1340" s="1">
        <v>46232</v>
      </c>
      <c r="B1340" t="s">
        <v>16</v>
      </c>
      <c r="C1340" t="s">
        <v>85</v>
      </c>
      <c r="D1340" t="s">
        <v>18</v>
      </c>
      <c r="J1340" s="8">
        <f>IF(Tableau3[[#This Row],[prospet]]=0,0,Tableau3[[#This Row],[Ventes]]/Tableau3[[#This Row],[prospet]])</f>
        <v>0</v>
      </c>
      <c r="K1340">
        <v>4316190</v>
      </c>
    </row>
    <row r="1341" spans="1:11" x14ac:dyDescent="0.3">
      <c r="A1341" s="1">
        <v>46232</v>
      </c>
      <c r="B1341" t="s">
        <v>9</v>
      </c>
      <c r="C1341" t="s">
        <v>86</v>
      </c>
      <c r="D1341" t="s">
        <v>13</v>
      </c>
      <c r="J1341" s="8">
        <f>IF(Tableau3[[#This Row],[prospet]]=0,0,Tableau3[[#This Row],[Ventes]]/Tableau3[[#This Row],[prospet]])</f>
        <v>0</v>
      </c>
      <c r="K1341">
        <v>4554529</v>
      </c>
    </row>
    <row r="1342" spans="1:11" x14ac:dyDescent="0.3">
      <c r="A1342" s="1">
        <v>46232</v>
      </c>
      <c r="B1342" t="s">
        <v>43</v>
      </c>
      <c r="C1342" t="s">
        <v>11</v>
      </c>
      <c r="D1342" t="s">
        <v>43</v>
      </c>
      <c r="J1342" s="8">
        <f>IF(Tableau3[[#This Row],[prospet]]=0,0,Tableau3[[#This Row],[Ventes]]/Tableau3[[#This Row],[prospet]])</f>
        <v>0</v>
      </c>
      <c r="K1342">
        <v>4348553</v>
      </c>
    </row>
    <row r="1343" spans="1:11" x14ac:dyDescent="0.3">
      <c r="A1343" s="1">
        <v>46232</v>
      </c>
      <c r="B1343" t="s">
        <v>30</v>
      </c>
      <c r="C1343" t="s">
        <v>88</v>
      </c>
      <c r="D1343" t="s">
        <v>30</v>
      </c>
      <c r="J1343" s="8">
        <f>IF(Tableau3[[#This Row],[prospet]]=0,0,Tableau3[[#This Row],[Ventes]]/Tableau3[[#This Row],[prospet]])</f>
        <v>0</v>
      </c>
      <c r="K1343">
        <v>4586158</v>
      </c>
    </row>
    <row r="1344" spans="1:11" x14ac:dyDescent="0.3">
      <c r="A1344" s="1">
        <v>46232</v>
      </c>
      <c r="B1344" t="s">
        <v>3</v>
      </c>
      <c r="C1344" t="s">
        <v>89</v>
      </c>
      <c r="D1344" t="s">
        <v>3</v>
      </c>
      <c r="J1344" s="8">
        <f>IF(Tableau3[[#This Row],[prospet]]=0,0,Tableau3[[#This Row],[Ventes]]/Tableau3[[#This Row],[prospet]])</f>
        <v>0</v>
      </c>
      <c r="K1344">
        <v>4561858</v>
      </c>
    </row>
    <row r="1345" spans="1:11" x14ac:dyDescent="0.3">
      <c r="A1345" s="1">
        <v>46232</v>
      </c>
      <c r="B1345" t="s">
        <v>62</v>
      </c>
      <c r="C1345" t="s">
        <v>90</v>
      </c>
      <c r="D1345" t="s">
        <v>62</v>
      </c>
      <c r="J1345" s="8">
        <f>IF(Tableau3[[#This Row],[prospet]]=0,0,Tableau3[[#This Row],[Ventes]]/Tableau3[[#This Row],[prospet]])</f>
        <v>0</v>
      </c>
      <c r="K1345">
        <v>4221767</v>
      </c>
    </row>
    <row r="1346" spans="1:11" x14ac:dyDescent="0.3">
      <c r="A1346" s="1">
        <v>46232</v>
      </c>
      <c r="B1346" t="s">
        <v>63</v>
      </c>
      <c r="C1346" t="s">
        <v>91</v>
      </c>
      <c r="D1346" t="s">
        <v>154</v>
      </c>
      <c r="J1346" s="8">
        <f>IF(Tableau3[[#This Row],[prospet]]=0,0,Tableau3[[#This Row],[Ventes]]/Tableau3[[#This Row],[prospet]])</f>
        <v>0</v>
      </c>
      <c r="K1346">
        <v>4463888</v>
      </c>
    </row>
    <row r="1347" spans="1:11" x14ac:dyDescent="0.3">
      <c r="A1347" s="1">
        <v>46232</v>
      </c>
      <c r="B1347" t="s">
        <v>81</v>
      </c>
      <c r="C1347" t="s">
        <v>92</v>
      </c>
      <c r="D1347" t="s">
        <v>81</v>
      </c>
      <c r="J1347" s="8">
        <f>IF(Tableau3[[#This Row],[prospet]]=0,0,Tableau3[[#This Row],[Ventes]]/Tableau3[[#This Row],[prospet]])</f>
        <v>0</v>
      </c>
      <c r="K1347">
        <v>4559847</v>
      </c>
    </row>
    <row r="1348" spans="1:11" x14ac:dyDescent="0.3">
      <c r="A1348" s="1">
        <v>46232</v>
      </c>
      <c r="B1348" t="s">
        <v>80</v>
      </c>
      <c r="C1348" t="s">
        <v>94</v>
      </c>
      <c r="D1348" t="s">
        <v>155</v>
      </c>
      <c r="J1348" s="8">
        <f>IF(Tableau3[[#This Row],[prospet]]=0,0,Tableau3[[#This Row],[Ventes]]/Tableau3[[#This Row],[prospet]])</f>
        <v>0</v>
      </c>
      <c r="K1348">
        <v>4636772</v>
      </c>
    </row>
    <row r="1349" spans="1:11" x14ac:dyDescent="0.3">
      <c r="A1349" s="1">
        <v>46232</v>
      </c>
      <c r="B1349" t="s">
        <v>83</v>
      </c>
      <c r="C1349" t="s">
        <v>95</v>
      </c>
      <c r="D1349" t="s">
        <v>83</v>
      </c>
      <c r="J1349" s="8">
        <f>IF(Tableau3[[#This Row],[prospet]]=0,0,Tableau3[[#This Row],[Ventes]]/Tableau3[[#This Row],[prospet]])</f>
        <v>0</v>
      </c>
      <c r="K1349">
        <v>3947053</v>
      </c>
    </row>
    <row r="1350" spans="1:11" x14ac:dyDescent="0.3">
      <c r="A1350" s="1">
        <v>46232</v>
      </c>
      <c r="B1350" t="s">
        <v>84</v>
      </c>
      <c r="C1350" t="s">
        <v>96</v>
      </c>
      <c r="D1350" t="s">
        <v>84</v>
      </c>
      <c r="J1350" s="8">
        <f>IF(Tableau3[[#This Row],[prospet]]=0,0,Tableau3[[#This Row],[Ventes]]/Tableau3[[#This Row],[prospet]])</f>
        <v>0</v>
      </c>
      <c r="K1350">
        <v>4587817</v>
      </c>
    </row>
    <row r="1351" spans="1:11" x14ac:dyDescent="0.3">
      <c r="A1351" s="1">
        <v>46232</v>
      </c>
      <c r="B1351" t="s">
        <v>98</v>
      </c>
      <c r="C1351" t="s">
        <v>99</v>
      </c>
      <c r="D1351" t="s">
        <v>98</v>
      </c>
      <c r="J1351" s="8">
        <f>IF(Tableau3[[#This Row],[prospet]]=0,0,Tableau3[[#This Row],[Ventes]]/Tableau3[[#This Row],[prospet]])</f>
        <v>0</v>
      </c>
      <c r="K1351">
        <v>3330821</v>
      </c>
    </row>
    <row r="1352" spans="1:11" x14ac:dyDescent="0.3">
      <c r="A1352" s="1">
        <v>46232</v>
      </c>
      <c r="B1352" t="s">
        <v>187</v>
      </c>
      <c r="D1352" t="s">
        <v>187</v>
      </c>
      <c r="J1352" s="8">
        <f>IF(Tableau3[[#This Row],[prospet]]=0,0,Tableau3[[#This Row],[Ventes]]/Tableau3[[#This Row],[prospet]])</f>
        <v>0</v>
      </c>
    </row>
    <row r="1353" spans="1:11" x14ac:dyDescent="0.3">
      <c r="A1353" s="1">
        <v>46232</v>
      </c>
      <c r="B1353" t="s">
        <v>204</v>
      </c>
      <c r="D1353" t="s">
        <v>204</v>
      </c>
      <c r="J1353" s="8">
        <f>IF(Tableau3[[#This Row],[prospet]]=0,0,Tableau3[[#This Row],[Ventes]]/Tableau3[[#This Row],[prospet]])</f>
        <v>0</v>
      </c>
    </row>
    <row r="1354" spans="1:11" x14ac:dyDescent="0.3">
      <c r="A1354" s="1">
        <v>46232</v>
      </c>
      <c r="B1354" t="s">
        <v>259</v>
      </c>
      <c r="D1354" t="s">
        <v>259</v>
      </c>
      <c r="J1354" s="8">
        <f>IF(Tableau3[[#This Row],[prospet]]=0,0,Tableau3[[#This Row],[Ventes]]/Tableau3[[#This Row],[prospet]])</f>
        <v>0</v>
      </c>
    </row>
    <row r="1355" spans="1:11" x14ac:dyDescent="0.3">
      <c r="A1355" s="1">
        <v>46233</v>
      </c>
      <c r="B1355" t="s">
        <v>16</v>
      </c>
      <c r="C1355" t="s">
        <v>85</v>
      </c>
      <c r="D1355" t="s">
        <v>18</v>
      </c>
      <c r="J1355" s="8">
        <f>IF(Tableau3[[#This Row],[prospet]]=0,0,Tableau3[[#This Row],[Ventes]]/Tableau3[[#This Row],[prospet]])</f>
        <v>0</v>
      </c>
      <c r="K1355">
        <v>4316190</v>
      </c>
    </row>
    <row r="1356" spans="1:11" x14ac:dyDescent="0.3">
      <c r="A1356" s="1">
        <v>46233</v>
      </c>
      <c r="B1356" t="s">
        <v>9</v>
      </c>
      <c r="C1356" t="s">
        <v>86</v>
      </c>
      <c r="D1356" t="s">
        <v>13</v>
      </c>
      <c r="J1356" s="8">
        <f>IF(Tableau3[[#This Row],[prospet]]=0,0,Tableau3[[#This Row],[Ventes]]/Tableau3[[#This Row],[prospet]])</f>
        <v>0</v>
      </c>
      <c r="K1356">
        <v>4554529</v>
      </c>
    </row>
    <row r="1357" spans="1:11" x14ac:dyDescent="0.3">
      <c r="A1357" s="1">
        <v>46233</v>
      </c>
      <c r="B1357" t="s">
        <v>43</v>
      </c>
      <c r="C1357" t="s">
        <v>11</v>
      </c>
      <c r="D1357" t="s">
        <v>43</v>
      </c>
      <c r="J1357" s="8">
        <f>IF(Tableau3[[#This Row],[prospet]]=0,0,Tableau3[[#This Row],[Ventes]]/Tableau3[[#This Row],[prospet]])</f>
        <v>0</v>
      </c>
      <c r="K1357">
        <v>4348553</v>
      </c>
    </row>
    <row r="1358" spans="1:11" x14ac:dyDescent="0.3">
      <c r="A1358" s="1">
        <v>46233</v>
      </c>
      <c r="B1358" t="s">
        <v>30</v>
      </c>
      <c r="C1358" t="s">
        <v>88</v>
      </c>
      <c r="D1358" t="s">
        <v>30</v>
      </c>
      <c r="J1358" s="8">
        <f>IF(Tableau3[[#This Row],[prospet]]=0,0,Tableau3[[#This Row],[Ventes]]/Tableau3[[#This Row],[prospet]])</f>
        <v>0</v>
      </c>
      <c r="K1358">
        <v>4586158</v>
      </c>
    </row>
    <row r="1359" spans="1:11" x14ac:dyDescent="0.3">
      <c r="A1359" s="1">
        <v>46233</v>
      </c>
      <c r="B1359" t="s">
        <v>3</v>
      </c>
      <c r="C1359" t="s">
        <v>89</v>
      </c>
      <c r="D1359" t="s">
        <v>3</v>
      </c>
      <c r="J1359" s="8">
        <f>IF(Tableau3[[#This Row],[prospet]]=0,0,Tableau3[[#This Row],[Ventes]]/Tableau3[[#This Row],[prospet]])</f>
        <v>0</v>
      </c>
      <c r="K1359">
        <v>4561858</v>
      </c>
    </row>
    <row r="1360" spans="1:11" x14ac:dyDescent="0.3">
      <c r="A1360" s="1">
        <v>46233</v>
      </c>
      <c r="B1360" t="s">
        <v>62</v>
      </c>
      <c r="C1360" t="s">
        <v>90</v>
      </c>
      <c r="D1360" t="s">
        <v>62</v>
      </c>
      <c r="J1360" s="8">
        <f>IF(Tableau3[[#This Row],[prospet]]=0,0,Tableau3[[#This Row],[Ventes]]/Tableau3[[#This Row],[prospet]])</f>
        <v>0</v>
      </c>
      <c r="K1360">
        <v>4221767</v>
      </c>
    </row>
    <row r="1361" spans="1:11" x14ac:dyDescent="0.3">
      <c r="A1361" s="1">
        <v>46233</v>
      </c>
      <c r="B1361" t="s">
        <v>63</v>
      </c>
      <c r="C1361" t="s">
        <v>91</v>
      </c>
      <c r="D1361" t="s">
        <v>154</v>
      </c>
      <c r="J1361" s="8">
        <f>IF(Tableau3[[#This Row],[prospet]]=0,0,Tableau3[[#This Row],[Ventes]]/Tableau3[[#This Row],[prospet]])</f>
        <v>0</v>
      </c>
      <c r="K1361">
        <v>4463888</v>
      </c>
    </row>
    <row r="1362" spans="1:11" x14ac:dyDescent="0.3">
      <c r="A1362" s="1">
        <v>46233</v>
      </c>
      <c r="B1362" t="s">
        <v>81</v>
      </c>
      <c r="C1362" t="s">
        <v>92</v>
      </c>
      <c r="D1362" t="s">
        <v>81</v>
      </c>
      <c r="J1362" s="8">
        <f>IF(Tableau3[[#This Row],[prospet]]=0,0,Tableau3[[#This Row],[Ventes]]/Tableau3[[#This Row],[prospet]])</f>
        <v>0</v>
      </c>
      <c r="K1362">
        <v>4559847</v>
      </c>
    </row>
    <row r="1363" spans="1:11" x14ac:dyDescent="0.3">
      <c r="A1363" s="1">
        <v>46233</v>
      </c>
      <c r="B1363" t="s">
        <v>80</v>
      </c>
      <c r="C1363" t="s">
        <v>94</v>
      </c>
      <c r="D1363" t="s">
        <v>155</v>
      </c>
      <c r="J1363" s="8">
        <f>IF(Tableau3[[#This Row],[prospet]]=0,0,Tableau3[[#This Row],[Ventes]]/Tableau3[[#This Row],[prospet]])</f>
        <v>0</v>
      </c>
      <c r="K1363">
        <v>4636772</v>
      </c>
    </row>
    <row r="1364" spans="1:11" x14ac:dyDescent="0.3">
      <c r="A1364" s="1">
        <v>46233</v>
      </c>
      <c r="B1364" t="s">
        <v>83</v>
      </c>
      <c r="C1364" t="s">
        <v>95</v>
      </c>
      <c r="D1364" t="s">
        <v>83</v>
      </c>
      <c r="J1364" s="8">
        <f>IF(Tableau3[[#This Row],[prospet]]=0,0,Tableau3[[#This Row],[Ventes]]/Tableau3[[#This Row],[prospet]])</f>
        <v>0</v>
      </c>
      <c r="K1364">
        <v>3947053</v>
      </c>
    </row>
    <row r="1365" spans="1:11" x14ac:dyDescent="0.3">
      <c r="A1365" s="1">
        <v>46233</v>
      </c>
      <c r="B1365" t="s">
        <v>84</v>
      </c>
      <c r="C1365" t="s">
        <v>96</v>
      </c>
      <c r="D1365" t="s">
        <v>84</v>
      </c>
      <c r="J1365" s="8">
        <f>IF(Tableau3[[#This Row],[prospet]]=0,0,Tableau3[[#This Row],[Ventes]]/Tableau3[[#This Row],[prospet]])</f>
        <v>0</v>
      </c>
      <c r="K1365">
        <v>4587817</v>
      </c>
    </row>
    <row r="1366" spans="1:11" x14ac:dyDescent="0.3">
      <c r="A1366" s="1">
        <v>46233</v>
      </c>
      <c r="B1366" t="s">
        <v>98</v>
      </c>
      <c r="C1366" t="s">
        <v>99</v>
      </c>
      <c r="D1366" t="s">
        <v>98</v>
      </c>
      <c r="J1366" s="8">
        <f>IF(Tableau3[[#This Row],[prospet]]=0,0,Tableau3[[#This Row],[Ventes]]/Tableau3[[#This Row],[prospet]])</f>
        <v>0</v>
      </c>
      <c r="K1366">
        <v>3330821</v>
      </c>
    </row>
    <row r="1367" spans="1:11" x14ac:dyDescent="0.3">
      <c r="A1367" s="1">
        <v>46233</v>
      </c>
      <c r="B1367" t="s">
        <v>187</v>
      </c>
      <c r="D1367" t="s">
        <v>187</v>
      </c>
      <c r="J1367" s="8">
        <f>IF(Tableau3[[#This Row],[prospet]]=0,0,Tableau3[[#This Row],[Ventes]]/Tableau3[[#This Row],[prospet]])</f>
        <v>0</v>
      </c>
    </row>
    <row r="1368" spans="1:11" x14ac:dyDescent="0.3">
      <c r="A1368" s="1">
        <v>46233</v>
      </c>
      <c r="B1368" t="s">
        <v>204</v>
      </c>
      <c r="D1368" t="s">
        <v>204</v>
      </c>
      <c r="J1368" s="8">
        <f>IF(Tableau3[[#This Row],[prospet]]=0,0,Tableau3[[#This Row],[Ventes]]/Tableau3[[#This Row],[prospet]])</f>
        <v>0</v>
      </c>
    </row>
    <row r="1369" spans="1:11" x14ac:dyDescent="0.3">
      <c r="A1369" s="1">
        <v>46233</v>
      </c>
      <c r="B1369" t="s">
        <v>259</v>
      </c>
      <c r="D1369" t="s">
        <v>259</v>
      </c>
      <c r="J1369" s="8">
        <f>IF(Tableau3[[#This Row],[prospet]]=0,0,Tableau3[[#This Row],[Ventes]]/Tableau3[[#This Row],[prospet]])</f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46418B-B4F3-4633-934F-D31F3577BC58}">
  <dimension ref="A2:H70"/>
  <sheetViews>
    <sheetView zoomScaleNormal="99" workbookViewId="0">
      <selection activeCell="G9" sqref="G9"/>
    </sheetView>
  </sheetViews>
  <sheetFormatPr baseColWidth="10" defaultRowHeight="14.4" x14ac:dyDescent="0.3"/>
  <cols>
    <col min="1" max="1" width="19.5546875" bestFit="1" customWidth="1"/>
    <col min="2" max="2" width="19.6640625" bestFit="1" customWidth="1"/>
    <col min="3" max="3" width="17.6640625" bestFit="1" customWidth="1"/>
    <col min="4" max="4" width="22.88671875" bestFit="1" customWidth="1"/>
    <col min="5" max="5" width="16.33203125" bestFit="1" customWidth="1"/>
    <col min="6" max="8" width="20.21875" bestFit="1" customWidth="1"/>
    <col min="9" max="9" width="16.77734375" bestFit="1" customWidth="1"/>
    <col min="10" max="15" width="10.109375" bestFit="1" customWidth="1"/>
    <col min="16" max="16" width="17.6640625" bestFit="1" customWidth="1"/>
    <col min="17" max="22" width="10.109375" bestFit="1" customWidth="1"/>
    <col min="23" max="23" width="20.5546875" bestFit="1" customWidth="1"/>
    <col min="24" max="29" width="10.109375" bestFit="1" customWidth="1"/>
    <col min="30" max="30" width="22.88671875" bestFit="1" customWidth="1"/>
    <col min="31" max="36" width="10.109375" bestFit="1" customWidth="1"/>
    <col min="37" max="37" width="20.21875" bestFit="1" customWidth="1"/>
    <col min="38" max="38" width="10.109375" bestFit="1" customWidth="1"/>
    <col min="39" max="40" width="12" bestFit="1" customWidth="1"/>
    <col min="41" max="41" width="10.109375" bestFit="1" customWidth="1"/>
    <col min="42" max="43" width="12" bestFit="1" customWidth="1"/>
    <col min="44" max="44" width="20.44140625" bestFit="1" customWidth="1"/>
    <col min="45" max="45" width="21.33203125" bestFit="1" customWidth="1"/>
    <col min="46" max="46" width="22.21875" bestFit="1" customWidth="1"/>
    <col min="47" max="47" width="25.109375" bestFit="1" customWidth="1"/>
    <col min="48" max="48" width="27.44140625" bestFit="1" customWidth="1"/>
    <col min="49" max="49" width="24.77734375" bestFit="1" customWidth="1"/>
    <col min="50" max="50" width="17.88671875" bestFit="1" customWidth="1"/>
    <col min="51" max="58" width="9.21875" bestFit="1" customWidth="1"/>
    <col min="59" max="73" width="10.21875" bestFit="1" customWidth="1"/>
    <col min="74" max="74" width="20.77734375" bestFit="1" customWidth="1"/>
    <col min="75" max="82" width="9.21875" bestFit="1" customWidth="1"/>
    <col min="83" max="97" width="10.21875" bestFit="1" customWidth="1"/>
    <col min="98" max="98" width="23.109375" bestFit="1" customWidth="1"/>
    <col min="99" max="106" width="9.21875" bestFit="1" customWidth="1"/>
    <col min="107" max="121" width="10.21875" bestFit="1" customWidth="1"/>
    <col min="122" max="122" width="20.44140625" bestFit="1" customWidth="1"/>
    <col min="123" max="124" width="12.109375" bestFit="1" customWidth="1"/>
    <col min="125" max="125" width="9.21875" bestFit="1" customWidth="1"/>
    <col min="126" max="127" width="12.109375" bestFit="1" customWidth="1"/>
    <col min="128" max="128" width="9.21875" bestFit="1" customWidth="1"/>
    <col min="129" max="129" width="12.109375" bestFit="1" customWidth="1"/>
    <col min="130" max="130" width="9.21875" bestFit="1" customWidth="1"/>
    <col min="131" max="134" width="12.109375" bestFit="1" customWidth="1"/>
    <col min="135" max="135" width="10.21875" bestFit="1" customWidth="1"/>
    <col min="136" max="137" width="12.109375" bestFit="1" customWidth="1"/>
    <col min="138" max="138" width="10.21875" bestFit="1" customWidth="1"/>
    <col min="139" max="140" width="12.109375" bestFit="1" customWidth="1"/>
    <col min="141" max="145" width="10.21875" bestFit="1" customWidth="1"/>
    <col min="146" max="146" width="21.5546875" bestFit="1" customWidth="1"/>
    <col min="147" max="147" width="20.6640625" bestFit="1" customWidth="1"/>
    <col min="148" max="148" width="22.44140625" bestFit="1" customWidth="1"/>
    <col min="149" max="149" width="25.33203125" bestFit="1" customWidth="1"/>
    <col min="150" max="150" width="27.6640625" bestFit="1" customWidth="1"/>
    <col min="151" max="151" width="25" bestFit="1" customWidth="1"/>
  </cols>
  <sheetData>
    <row r="2" spans="1:8" x14ac:dyDescent="0.3">
      <c r="A2" s="3" t="s">
        <v>0</v>
      </c>
      <c r="B2" t="s">
        <v>79</v>
      </c>
      <c r="H2" t="s">
        <v>146</v>
      </c>
    </row>
    <row r="4" spans="1:8" ht="18.600000000000001" customHeight="1" x14ac:dyDescent="0.3">
      <c r="A4" s="3" t="s">
        <v>76</v>
      </c>
      <c r="B4" t="s">
        <v>140</v>
      </c>
      <c r="C4" t="s">
        <v>139</v>
      </c>
      <c r="D4" t="s">
        <v>78</v>
      </c>
      <c r="E4" t="s">
        <v>260</v>
      </c>
      <c r="F4" t="s">
        <v>156</v>
      </c>
    </row>
    <row r="5" spans="1:8" ht="18.600000000000001" customHeight="1" x14ac:dyDescent="0.3">
      <c r="A5" s="4" t="s">
        <v>13</v>
      </c>
      <c r="B5" s="41">
        <v>99</v>
      </c>
      <c r="C5" s="2">
        <v>5.1400000000000006</v>
      </c>
      <c r="D5" s="41">
        <v>14000</v>
      </c>
      <c r="E5" s="41">
        <v>2</v>
      </c>
      <c r="F5" s="22">
        <v>2.0202020202020204E-2</v>
      </c>
    </row>
    <row r="6" spans="1:8" ht="18.600000000000001" customHeight="1" x14ac:dyDescent="0.3">
      <c r="A6" s="4" t="s">
        <v>30</v>
      </c>
      <c r="B6" s="41">
        <v>52</v>
      </c>
      <c r="C6" s="2">
        <v>4.5299999999999994</v>
      </c>
      <c r="D6" s="41">
        <v>56500</v>
      </c>
      <c r="E6" s="41">
        <v>5</v>
      </c>
      <c r="F6" s="22">
        <v>9.6153846153846159E-2</v>
      </c>
    </row>
    <row r="7" spans="1:8" ht="18.600000000000001" customHeight="1" x14ac:dyDescent="0.3">
      <c r="A7" s="4" t="s">
        <v>84</v>
      </c>
      <c r="B7" s="41">
        <v>66</v>
      </c>
      <c r="C7" s="2">
        <v>3.8699999999999997</v>
      </c>
      <c r="D7" s="41">
        <v>17500</v>
      </c>
      <c r="E7" s="41">
        <v>1</v>
      </c>
      <c r="F7" s="22">
        <v>1.5151515151515152E-2</v>
      </c>
    </row>
    <row r="8" spans="1:8" ht="18.600000000000001" customHeight="1" x14ac:dyDescent="0.3">
      <c r="A8" s="4" t="s">
        <v>18</v>
      </c>
      <c r="B8" s="41">
        <v>205</v>
      </c>
      <c r="C8" s="2">
        <v>8.59</v>
      </c>
      <c r="D8" s="41">
        <v>56500</v>
      </c>
      <c r="E8" s="41">
        <v>6</v>
      </c>
      <c r="F8" s="22">
        <v>2.9268292682926831E-2</v>
      </c>
    </row>
    <row r="9" spans="1:8" ht="18.600000000000001" customHeight="1" x14ac:dyDescent="0.3">
      <c r="A9" s="4" t="s">
        <v>43</v>
      </c>
      <c r="B9" s="41">
        <v>39</v>
      </c>
      <c r="C9" s="2">
        <v>4.09</v>
      </c>
      <c r="D9" s="41">
        <v>5000</v>
      </c>
      <c r="E9" s="41">
        <v>1</v>
      </c>
      <c r="F9" s="22">
        <v>2.564102564102564E-2</v>
      </c>
    </row>
    <row r="10" spans="1:8" ht="18.600000000000001" customHeight="1" x14ac:dyDescent="0.3">
      <c r="A10" s="4" t="s">
        <v>155</v>
      </c>
      <c r="B10" s="41">
        <v>129</v>
      </c>
      <c r="C10" s="2">
        <v>6.8400000000000007</v>
      </c>
      <c r="D10" s="41">
        <v>100500</v>
      </c>
      <c r="E10" s="41">
        <v>10</v>
      </c>
      <c r="F10" s="22">
        <v>7.7519379844961239E-2</v>
      </c>
    </row>
    <row r="11" spans="1:8" ht="18.600000000000001" customHeight="1" x14ac:dyDescent="0.3">
      <c r="A11" s="4" t="s">
        <v>187</v>
      </c>
      <c r="B11" s="41">
        <v>44</v>
      </c>
      <c r="C11" s="2">
        <v>1.67</v>
      </c>
      <c r="D11" s="41"/>
      <c r="E11" s="41"/>
      <c r="F11" s="25">
        <v>0</v>
      </c>
    </row>
    <row r="12" spans="1:8" ht="18.600000000000001" customHeight="1" x14ac:dyDescent="0.3">
      <c r="A12" s="4" t="s">
        <v>259</v>
      </c>
      <c r="B12" s="41">
        <v>36</v>
      </c>
      <c r="C12" s="2">
        <v>3.58</v>
      </c>
      <c r="D12" s="41"/>
      <c r="E12" s="41"/>
      <c r="F12" s="41">
        <v>0</v>
      </c>
    </row>
    <row r="13" spans="1:8" ht="18.600000000000001" customHeight="1" x14ac:dyDescent="0.3">
      <c r="A13" s="4" t="s">
        <v>253</v>
      </c>
      <c r="B13" s="41">
        <v>10</v>
      </c>
      <c r="C13" s="2">
        <v>0.75</v>
      </c>
      <c r="D13" s="41"/>
      <c r="E13" s="41"/>
      <c r="F13" s="41">
        <v>0</v>
      </c>
    </row>
    <row r="14" spans="1:8" ht="18.600000000000001" customHeight="1" x14ac:dyDescent="0.3">
      <c r="A14" s="4" t="s">
        <v>204</v>
      </c>
      <c r="B14" s="41">
        <v>113</v>
      </c>
      <c r="C14" s="2">
        <v>4.8600000000000003</v>
      </c>
      <c r="D14" s="41">
        <v>77500</v>
      </c>
      <c r="E14" s="41">
        <v>7</v>
      </c>
      <c r="F14" s="22">
        <v>6.1946902654867256E-2</v>
      </c>
    </row>
    <row r="15" spans="1:8" ht="18.600000000000001" customHeight="1" x14ac:dyDescent="0.3">
      <c r="A15" s="4" t="s">
        <v>77</v>
      </c>
      <c r="B15" s="41">
        <v>793</v>
      </c>
      <c r="C15" s="2">
        <v>43.92</v>
      </c>
      <c r="D15" s="41">
        <v>327500</v>
      </c>
      <c r="E15" s="41">
        <v>32</v>
      </c>
      <c r="F15" s="22">
        <v>4.0353089533417402E-2</v>
      </c>
    </row>
    <row r="16" spans="1:8" ht="18.600000000000001" customHeight="1" x14ac:dyDescent="0.3"/>
    <row r="17" spans="1:7" ht="18.600000000000001" customHeight="1" x14ac:dyDescent="0.3"/>
    <row r="18" spans="1:7" ht="18.600000000000001" customHeight="1" x14ac:dyDescent="0.3"/>
    <row r="19" spans="1:7" ht="18.600000000000001" customHeight="1" x14ac:dyDescent="0.3"/>
    <row r="20" spans="1:7" ht="18.600000000000001" customHeight="1" x14ac:dyDescent="0.3"/>
    <row r="21" spans="1:7" ht="18.600000000000001" customHeight="1" x14ac:dyDescent="0.3"/>
    <row r="22" spans="1:7" ht="18.600000000000001" customHeight="1" x14ac:dyDescent="0.3"/>
    <row r="23" spans="1:7" ht="18.600000000000001" customHeight="1" x14ac:dyDescent="0.3"/>
    <row r="25" spans="1:7" x14ac:dyDescent="0.3">
      <c r="A25" s="24" t="s">
        <v>171</v>
      </c>
      <c r="B25" s="24" t="s">
        <v>172</v>
      </c>
      <c r="C25" s="24" t="s">
        <v>173</v>
      </c>
      <c r="D25" s="24" t="s">
        <v>174</v>
      </c>
      <c r="E25" s="24" t="s">
        <v>175</v>
      </c>
      <c r="F25" s="24" t="s">
        <v>176</v>
      </c>
      <c r="G25" s="24" t="s">
        <v>67</v>
      </c>
    </row>
    <row r="26" spans="1:7" x14ac:dyDescent="0.3">
      <c r="A26" s="4" t="s">
        <v>177</v>
      </c>
      <c r="B26">
        <f>SUM(APC!E45:E277)</f>
        <v>2682</v>
      </c>
      <c r="C26" s="2">
        <f>SUM(APC!G45:G277)</f>
        <v>302.14300000000009</v>
      </c>
      <c r="D26">
        <f>SUM(APC!F45:F277)</f>
        <v>159</v>
      </c>
    </row>
    <row r="27" spans="1:7" x14ac:dyDescent="0.3">
      <c r="A27" s="4" t="s">
        <v>178</v>
      </c>
      <c r="B27">
        <f>SUM(APC!E278:E847)</f>
        <v>6054</v>
      </c>
      <c r="C27" s="25">
        <f>SUM(APC!G278:G847)</f>
        <v>617.88230000000044</v>
      </c>
      <c r="D27">
        <f>SUM(APC!F278:F847)</f>
        <v>465</v>
      </c>
      <c r="E27">
        <f>SUM(APC!I296:I847)</f>
        <v>752750</v>
      </c>
      <c r="F27">
        <f>SUM(APC!H288:H847)</f>
        <v>3900500</v>
      </c>
      <c r="G27" s="8">
        <f>D27/B27</f>
        <v>7.6808721506442024E-2</v>
      </c>
    </row>
    <row r="69" spans="1:2" x14ac:dyDescent="0.3">
      <c r="A69" t="s">
        <v>177</v>
      </c>
      <c r="B69">
        <f>SUM(APC!E45:E277)</f>
        <v>2682</v>
      </c>
    </row>
    <row r="70" spans="1:2" x14ac:dyDescent="0.3">
      <c r="A70" t="s">
        <v>178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AC501E-34E9-4834-9E6E-27AC9B857CBE}">
  <dimension ref="A3:D14"/>
  <sheetViews>
    <sheetView workbookViewId="0">
      <selection activeCell="F1" sqref="F1:F1048576"/>
    </sheetView>
  </sheetViews>
  <sheetFormatPr baseColWidth="10" defaultRowHeight="14.4" x14ac:dyDescent="0.3"/>
  <cols>
    <col min="1" max="1" width="19.5546875" bestFit="1" customWidth="1"/>
    <col min="2" max="2" width="12.44140625" bestFit="1" customWidth="1"/>
    <col min="3" max="3" width="18.6640625" bestFit="1" customWidth="1"/>
    <col min="4" max="4" width="30.6640625" bestFit="1" customWidth="1"/>
  </cols>
  <sheetData>
    <row r="3" spans="1:4" x14ac:dyDescent="0.3">
      <c r="A3" s="3" t="s">
        <v>76</v>
      </c>
      <c r="B3" t="s">
        <v>243</v>
      </c>
      <c r="C3" t="s">
        <v>242</v>
      </c>
      <c r="D3" t="s">
        <v>245</v>
      </c>
    </row>
    <row r="4" spans="1:4" x14ac:dyDescent="0.3">
      <c r="A4" s="4" t="s">
        <v>24</v>
      </c>
      <c r="B4">
        <v>1</v>
      </c>
      <c r="C4">
        <v>8000</v>
      </c>
      <c r="D4">
        <v>0</v>
      </c>
    </row>
    <row r="5" spans="1:4" x14ac:dyDescent="0.3">
      <c r="A5" s="4" t="s">
        <v>211</v>
      </c>
      <c r="B5">
        <v>4</v>
      </c>
      <c r="C5">
        <v>54500</v>
      </c>
      <c r="D5">
        <v>1500</v>
      </c>
    </row>
    <row r="6" spans="1:4" x14ac:dyDescent="0.3">
      <c r="A6" s="4" t="s">
        <v>226</v>
      </c>
      <c r="B6">
        <v>1</v>
      </c>
      <c r="C6">
        <v>7500</v>
      </c>
      <c r="D6">
        <v>0</v>
      </c>
    </row>
    <row r="7" spans="1:4" x14ac:dyDescent="0.3">
      <c r="A7" s="4" t="s">
        <v>217</v>
      </c>
      <c r="B7">
        <v>1</v>
      </c>
      <c r="C7">
        <v>11500</v>
      </c>
      <c r="D7">
        <v>0</v>
      </c>
    </row>
    <row r="8" spans="1:4" x14ac:dyDescent="0.3">
      <c r="A8" s="4" t="s">
        <v>219</v>
      </c>
      <c r="B8">
        <v>4</v>
      </c>
      <c r="C8">
        <v>42500</v>
      </c>
      <c r="D8">
        <v>1500</v>
      </c>
    </row>
    <row r="9" spans="1:4" x14ac:dyDescent="0.3">
      <c r="A9" s="4" t="s">
        <v>207</v>
      </c>
      <c r="B9">
        <v>3</v>
      </c>
      <c r="C9">
        <v>37500</v>
      </c>
      <c r="D9">
        <v>6500</v>
      </c>
    </row>
    <row r="10" spans="1:4" x14ac:dyDescent="0.3">
      <c r="A10" s="4" t="s">
        <v>209</v>
      </c>
      <c r="B10">
        <v>3</v>
      </c>
      <c r="C10">
        <v>28000</v>
      </c>
      <c r="D10">
        <v>3000</v>
      </c>
    </row>
    <row r="11" spans="1:4" x14ac:dyDescent="0.3">
      <c r="A11" s="4" t="s">
        <v>224</v>
      </c>
      <c r="B11">
        <v>1</v>
      </c>
      <c r="C11">
        <v>7500</v>
      </c>
      <c r="D11">
        <v>0</v>
      </c>
    </row>
    <row r="12" spans="1:4" x14ac:dyDescent="0.3">
      <c r="A12" s="4" t="s">
        <v>213</v>
      </c>
      <c r="B12">
        <v>6</v>
      </c>
      <c r="C12">
        <v>51000</v>
      </c>
      <c r="D12">
        <v>4500</v>
      </c>
    </row>
    <row r="13" spans="1:4" x14ac:dyDescent="0.3">
      <c r="A13" s="4" t="s">
        <v>232</v>
      </c>
      <c r="B13">
        <v>1</v>
      </c>
      <c r="C13">
        <v>17500</v>
      </c>
      <c r="D13">
        <v>0</v>
      </c>
    </row>
    <row r="14" spans="1:4" x14ac:dyDescent="0.3">
      <c r="A14" s="4" t="s">
        <v>77</v>
      </c>
      <c r="B14">
        <v>25</v>
      </c>
      <c r="C14">
        <v>265500</v>
      </c>
      <c r="D14">
        <v>17000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E1C75-0223-4AC4-B5AC-67AE058B38FB}">
  <dimension ref="A1:I26"/>
  <sheetViews>
    <sheetView workbookViewId="0">
      <selection activeCell="I12" sqref="I12"/>
    </sheetView>
  </sheetViews>
  <sheetFormatPr baseColWidth="10" defaultRowHeight="14.4" x14ac:dyDescent="0.3"/>
  <cols>
    <col min="1" max="1" width="10" bestFit="1" customWidth="1"/>
    <col min="2" max="2" width="17.109375" customWidth="1"/>
    <col min="3" max="3" width="24.109375" bestFit="1" customWidth="1"/>
    <col min="4" max="4" width="5.109375" customWidth="1"/>
    <col min="5" max="5" width="6.77734375" customWidth="1"/>
    <col min="6" max="6" width="11.21875" customWidth="1"/>
    <col min="7" max="7" width="8.77734375" customWidth="1"/>
    <col min="8" max="8" width="11.109375" customWidth="1"/>
    <col min="9" max="9" width="25.77734375" bestFit="1" customWidth="1"/>
    <col min="11" max="11" width="19.5546875" bestFit="1" customWidth="1"/>
    <col min="12" max="12" width="12.44140625" bestFit="1" customWidth="1"/>
    <col min="13" max="13" width="18.6640625" bestFit="1" customWidth="1"/>
    <col min="14" max="14" width="19.6640625" bestFit="1" customWidth="1"/>
  </cols>
  <sheetData>
    <row r="1" spans="1:9" x14ac:dyDescent="0.3">
      <c r="A1" s="32" t="s">
        <v>101</v>
      </c>
      <c r="B1" s="32" t="s">
        <v>235</v>
      </c>
      <c r="C1" s="32" t="s">
        <v>236</v>
      </c>
      <c r="D1" s="33" t="s">
        <v>237</v>
      </c>
      <c r="E1" s="33" t="s">
        <v>238</v>
      </c>
      <c r="F1" s="33" t="s">
        <v>239</v>
      </c>
      <c r="G1" s="33" t="s">
        <v>240</v>
      </c>
      <c r="H1" s="33" t="s">
        <v>241</v>
      </c>
      <c r="I1" s="34" t="s">
        <v>244</v>
      </c>
    </row>
    <row r="2" spans="1:9" x14ac:dyDescent="0.3">
      <c r="A2" s="1">
        <v>46218.072025462963</v>
      </c>
      <c r="B2" s="30" t="s">
        <v>207</v>
      </c>
      <c r="C2" s="30" t="s">
        <v>208</v>
      </c>
      <c r="D2" s="30">
        <v>1</v>
      </c>
      <c r="E2" s="30">
        <v>12500</v>
      </c>
      <c r="F2" s="30">
        <f>SUM(E2*D2)</f>
        <v>12500</v>
      </c>
      <c r="G2" s="30"/>
      <c r="H2" s="30">
        <v>2500</v>
      </c>
      <c r="I2" s="31">
        <f>SUM(H2*D2)</f>
        <v>2500</v>
      </c>
    </row>
    <row r="3" spans="1:9" x14ac:dyDescent="0.3">
      <c r="A3" s="1">
        <v>46218.072025462963</v>
      </c>
      <c r="B3" s="30" t="s">
        <v>209</v>
      </c>
      <c r="C3" s="30" t="s">
        <v>210</v>
      </c>
      <c r="D3" s="30">
        <v>1</v>
      </c>
      <c r="E3" s="30">
        <v>8000</v>
      </c>
      <c r="F3" s="30">
        <f t="shared" ref="F3:F26" si="0">SUM(E3*D3)</f>
        <v>8000</v>
      </c>
      <c r="G3" s="30"/>
      <c r="H3" s="30">
        <v>1500</v>
      </c>
      <c r="I3" s="31">
        <f t="shared" ref="I3:I16" si="1">SUM(H3*D3)</f>
        <v>1500</v>
      </c>
    </row>
    <row r="4" spans="1:9" x14ac:dyDescent="0.3">
      <c r="A4" s="1">
        <v>46218.072025462963</v>
      </c>
      <c r="B4" s="30" t="s">
        <v>211</v>
      </c>
      <c r="C4" s="30" t="s">
        <v>212</v>
      </c>
      <c r="D4" s="30">
        <v>1</v>
      </c>
      <c r="E4" s="30">
        <v>12500</v>
      </c>
      <c r="F4" s="30">
        <f t="shared" si="0"/>
        <v>12500</v>
      </c>
      <c r="G4" s="30"/>
      <c r="H4" s="30">
        <v>1500</v>
      </c>
      <c r="I4" s="31">
        <f t="shared" si="1"/>
        <v>1500</v>
      </c>
    </row>
    <row r="5" spans="1:9" x14ac:dyDescent="0.3">
      <c r="A5" s="1">
        <v>46218.072025462963</v>
      </c>
      <c r="B5" s="30" t="s">
        <v>213</v>
      </c>
      <c r="C5" s="30" t="s">
        <v>1</v>
      </c>
      <c r="D5" s="30">
        <v>1</v>
      </c>
      <c r="E5" s="30">
        <v>5000</v>
      </c>
      <c r="F5" s="30">
        <f t="shared" si="0"/>
        <v>5000</v>
      </c>
      <c r="G5" s="30"/>
      <c r="H5" s="30">
        <v>1000</v>
      </c>
      <c r="I5" s="31">
        <f t="shared" si="1"/>
        <v>1000</v>
      </c>
    </row>
    <row r="6" spans="1:9" x14ac:dyDescent="0.3">
      <c r="A6" s="1">
        <v>46218.072025462963</v>
      </c>
      <c r="B6" s="30" t="s">
        <v>213</v>
      </c>
      <c r="C6" s="30" t="s">
        <v>214</v>
      </c>
      <c r="D6" s="30">
        <v>1</v>
      </c>
      <c r="E6" s="30">
        <v>10000</v>
      </c>
      <c r="F6" s="30">
        <f t="shared" si="0"/>
        <v>10000</v>
      </c>
      <c r="G6" s="30"/>
      <c r="H6" s="30"/>
      <c r="I6" s="31">
        <f t="shared" si="1"/>
        <v>0</v>
      </c>
    </row>
    <row r="7" spans="1:9" x14ac:dyDescent="0.3">
      <c r="A7" s="1">
        <v>46218.072025462963</v>
      </c>
      <c r="B7" s="30" t="s">
        <v>213</v>
      </c>
      <c r="C7" s="30" t="s">
        <v>215</v>
      </c>
      <c r="D7" s="30">
        <v>1</v>
      </c>
      <c r="E7" s="30">
        <v>7500</v>
      </c>
      <c r="F7" s="30">
        <f t="shared" si="0"/>
        <v>7500</v>
      </c>
      <c r="G7" s="30"/>
      <c r="H7" s="30"/>
      <c r="I7" s="31">
        <f t="shared" si="1"/>
        <v>0</v>
      </c>
    </row>
    <row r="8" spans="1:9" x14ac:dyDescent="0.3">
      <c r="A8" s="1">
        <v>46218.072025462963</v>
      </c>
      <c r="B8" s="30" t="s">
        <v>213</v>
      </c>
      <c r="C8" s="30" t="s">
        <v>216</v>
      </c>
      <c r="D8" s="30">
        <v>1</v>
      </c>
      <c r="E8" s="30">
        <v>17500</v>
      </c>
      <c r="F8" s="30">
        <f t="shared" si="0"/>
        <v>17500</v>
      </c>
      <c r="G8" s="30"/>
      <c r="H8" s="30">
        <v>2500</v>
      </c>
      <c r="I8" s="31">
        <f t="shared" si="1"/>
        <v>2500</v>
      </c>
    </row>
    <row r="9" spans="1:9" x14ac:dyDescent="0.3">
      <c r="A9" s="1">
        <v>46218.072025462963</v>
      </c>
      <c r="B9" s="30" t="s">
        <v>217</v>
      </c>
      <c r="C9" s="30" t="s">
        <v>218</v>
      </c>
      <c r="D9" s="30">
        <v>1</v>
      </c>
      <c r="E9" s="30">
        <v>11500</v>
      </c>
      <c r="F9" s="30">
        <f t="shared" si="0"/>
        <v>11500</v>
      </c>
      <c r="G9" s="30"/>
      <c r="H9" s="30"/>
      <c r="I9" s="31">
        <f t="shared" si="1"/>
        <v>0</v>
      </c>
    </row>
    <row r="10" spans="1:9" x14ac:dyDescent="0.3">
      <c r="A10" s="1">
        <v>46218.072025462963</v>
      </c>
      <c r="B10" s="30" t="s">
        <v>219</v>
      </c>
      <c r="C10" s="30" t="s">
        <v>215</v>
      </c>
      <c r="D10" s="30">
        <v>1</v>
      </c>
      <c r="E10" s="30">
        <v>7500</v>
      </c>
      <c r="F10" s="30">
        <f t="shared" si="0"/>
        <v>7500</v>
      </c>
      <c r="G10" s="30"/>
      <c r="H10" s="30"/>
      <c r="I10" s="31">
        <f t="shared" si="1"/>
        <v>0</v>
      </c>
    </row>
    <row r="11" spans="1:9" x14ac:dyDescent="0.3">
      <c r="A11" s="1">
        <v>46218.072025462963</v>
      </c>
      <c r="B11" s="30" t="s">
        <v>219</v>
      </c>
      <c r="C11" s="30" t="s">
        <v>212</v>
      </c>
      <c r="D11" s="30">
        <v>1</v>
      </c>
      <c r="E11" s="30">
        <v>12500</v>
      </c>
      <c r="F11" s="30">
        <f t="shared" si="0"/>
        <v>12500</v>
      </c>
      <c r="G11" s="30"/>
      <c r="H11" s="30">
        <v>1500</v>
      </c>
      <c r="I11" s="31">
        <f t="shared" si="1"/>
        <v>1500</v>
      </c>
    </row>
    <row r="12" spans="1:9" x14ac:dyDescent="0.3">
      <c r="A12" s="1">
        <v>46218.072025462963</v>
      </c>
      <c r="B12" s="30" t="s">
        <v>219</v>
      </c>
      <c r="C12" s="30" t="s">
        <v>220</v>
      </c>
      <c r="D12" s="30">
        <v>1</v>
      </c>
      <c r="E12" s="30">
        <v>10000</v>
      </c>
      <c r="F12" s="30">
        <f t="shared" si="0"/>
        <v>10000</v>
      </c>
      <c r="G12" s="30"/>
      <c r="H12" s="30"/>
      <c r="I12" s="31">
        <f t="shared" si="1"/>
        <v>0</v>
      </c>
    </row>
    <row r="13" spans="1:9" x14ac:dyDescent="0.3">
      <c r="A13" s="1">
        <v>46218.072025462963</v>
      </c>
      <c r="B13" s="30" t="s">
        <v>24</v>
      </c>
      <c r="C13" s="30" t="s">
        <v>221</v>
      </c>
      <c r="D13" s="30">
        <v>1</v>
      </c>
      <c r="E13" s="30">
        <v>8000</v>
      </c>
      <c r="F13" s="30">
        <f t="shared" si="0"/>
        <v>8000</v>
      </c>
      <c r="G13" s="30"/>
      <c r="H13" s="30"/>
      <c r="I13" s="31">
        <f t="shared" si="1"/>
        <v>0</v>
      </c>
    </row>
    <row r="14" spans="1:9" x14ac:dyDescent="0.3">
      <c r="A14" s="1">
        <v>46218.072025462963</v>
      </c>
      <c r="B14" s="30" t="s">
        <v>213</v>
      </c>
      <c r="C14" s="30" t="s">
        <v>222</v>
      </c>
      <c r="D14" s="30">
        <v>1</v>
      </c>
      <c r="E14" s="30">
        <v>7000</v>
      </c>
      <c r="F14" s="30">
        <f t="shared" si="0"/>
        <v>7000</v>
      </c>
      <c r="G14" s="30"/>
      <c r="H14" s="30"/>
      <c r="I14" s="31">
        <f t="shared" si="1"/>
        <v>0</v>
      </c>
    </row>
    <row r="15" spans="1:9" x14ac:dyDescent="0.3">
      <c r="A15" s="1">
        <v>46218.072025462963</v>
      </c>
      <c r="B15" s="30" t="s">
        <v>223</v>
      </c>
      <c r="C15" s="30" t="s">
        <v>212</v>
      </c>
      <c r="D15" s="30">
        <v>1</v>
      </c>
      <c r="E15" s="30">
        <v>12000</v>
      </c>
      <c r="F15" s="30">
        <f t="shared" si="0"/>
        <v>12000</v>
      </c>
      <c r="G15" s="30"/>
      <c r="H15" s="30">
        <v>1500</v>
      </c>
      <c r="I15" s="31">
        <f t="shared" si="1"/>
        <v>1500</v>
      </c>
    </row>
    <row r="16" spans="1:9" x14ac:dyDescent="0.3">
      <c r="A16" s="1">
        <v>46218.072025462963</v>
      </c>
      <c r="B16" s="30" t="s">
        <v>223</v>
      </c>
      <c r="C16" s="30" t="s">
        <v>210</v>
      </c>
      <c r="D16" s="30">
        <v>1</v>
      </c>
      <c r="E16" s="30">
        <v>8000</v>
      </c>
      <c r="F16" s="30">
        <f t="shared" si="0"/>
        <v>8000</v>
      </c>
      <c r="G16" s="30"/>
      <c r="H16" s="30"/>
      <c r="I16" s="31">
        <f t="shared" si="1"/>
        <v>0</v>
      </c>
    </row>
    <row r="17" spans="1:9" x14ac:dyDescent="0.3">
      <c r="A17" s="1">
        <v>46218.072025462963</v>
      </c>
      <c r="B17" s="30" t="s">
        <v>213</v>
      </c>
      <c r="C17" s="30" t="s">
        <v>121</v>
      </c>
      <c r="D17" s="30">
        <v>1</v>
      </c>
      <c r="E17" s="30">
        <v>4000</v>
      </c>
      <c r="F17" s="30">
        <f t="shared" si="0"/>
        <v>4000</v>
      </c>
      <c r="G17" s="30"/>
      <c r="H17" s="30">
        <v>1000</v>
      </c>
      <c r="I17" s="31">
        <f>SUM(H17*D17)</f>
        <v>1000</v>
      </c>
    </row>
    <row r="18" spans="1:9" x14ac:dyDescent="0.3">
      <c r="A18" s="1">
        <v>46218.072025462963</v>
      </c>
      <c r="B18" s="30" t="s">
        <v>224</v>
      </c>
      <c r="C18" s="30" t="s">
        <v>225</v>
      </c>
      <c r="D18" s="30">
        <v>1</v>
      </c>
      <c r="E18" s="30">
        <v>7500</v>
      </c>
      <c r="F18" s="30">
        <f t="shared" si="0"/>
        <v>7500</v>
      </c>
      <c r="G18" s="30"/>
      <c r="H18" s="30"/>
      <c r="I18" s="31">
        <f t="shared" ref="I18:I26" si="2">SUM(H18*D18)</f>
        <v>0</v>
      </c>
    </row>
    <row r="19" spans="1:9" x14ac:dyDescent="0.3">
      <c r="A19" s="1">
        <v>46218.072025462963</v>
      </c>
      <c r="B19" s="30" t="s">
        <v>226</v>
      </c>
      <c r="C19" s="30" t="s">
        <v>227</v>
      </c>
      <c r="D19" s="30">
        <v>1</v>
      </c>
      <c r="E19" s="30">
        <v>7500</v>
      </c>
      <c r="F19" s="30">
        <f t="shared" si="0"/>
        <v>7500</v>
      </c>
      <c r="G19" s="30"/>
      <c r="H19" s="30"/>
      <c r="I19" s="31">
        <f t="shared" si="2"/>
        <v>0</v>
      </c>
    </row>
    <row r="20" spans="1:9" x14ac:dyDescent="0.3">
      <c r="A20" s="1">
        <v>46218.072025462963</v>
      </c>
      <c r="B20" s="30" t="s">
        <v>155</v>
      </c>
      <c r="C20" s="30" t="s">
        <v>228</v>
      </c>
      <c r="D20" s="30">
        <v>1</v>
      </c>
      <c r="E20" s="30">
        <v>12500</v>
      </c>
      <c r="F20" s="30">
        <f t="shared" si="0"/>
        <v>12500</v>
      </c>
      <c r="G20" s="30"/>
      <c r="H20" s="30">
        <v>1500</v>
      </c>
      <c r="I20" s="31">
        <f>SUM(H20*D20)</f>
        <v>1500</v>
      </c>
    </row>
    <row r="21" spans="1:9" x14ac:dyDescent="0.3">
      <c r="A21" s="1">
        <v>46218.072025462963</v>
      </c>
      <c r="B21" s="30" t="s">
        <v>229</v>
      </c>
      <c r="C21" s="30" t="s">
        <v>230</v>
      </c>
      <c r="D21" s="30">
        <v>1</v>
      </c>
      <c r="E21" s="30">
        <v>30000</v>
      </c>
      <c r="F21" s="30">
        <f t="shared" si="0"/>
        <v>30000</v>
      </c>
      <c r="G21" s="30"/>
      <c r="H21" s="30"/>
      <c r="I21" s="31">
        <f t="shared" si="2"/>
        <v>0</v>
      </c>
    </row>
    <row r="22" spans="1:9" x14ac:dyDescent="0.3">
      <c r="A22" s="1">
        <v>46218.072025462963</v>
      </c>
      <c r="B22" s="30" t="s">
        <v>229</v>
      </c>
      <c r="C22" s="30" t="s">
        <v>121</v>
      </c>
      <c r="D22" s="30">
        <v>1</v>
      </c>
      <c r="E22" s="30">
        <v>4000</v>
      </c>
      <c r="F22" s="30">
        <f t="shared" si="0"/>
        <v>4000</v>
      </c>
      <c r="G22" s="30"/>
      <c r="H22" s="30"/>
      <c r="I22" s="31">
        <f t="shared" si="2"/>
        <v>0</v>
      </c>
    </row>
    <row r="23" spans="1:9" x14ac:dyDescent="0.3">
      <c r="A23" s="1">
        <v>46218.072025462963</v>
      </c>
      <c r="B23" s="30" t="s">
        <v>229</v>
      </c>
      <c r="C23" s="30" t="s">
        <v>231</v>
      </c>
      <c r="D23" s="30">
        <v>1</v>
      </c>
      <c r="E23" s="30">
        <v>8000</v>
      </c>
      <c r="F23" s="30">
        <f t="shared" si="0"/>
        <v>8000</v>
      </c>
      <c r="G23" s="30"/>
      <c r="H23" s="30"/>
      <c r="I23" s="31">
        <f t="shared" si="2"/>
        <v>0</v>
      </c>
    </row>
    <row r="24" spans="1:9" x14ac:dyDescent="0.3">
      <c r="A24" s="1">
        <v>46218.072025462963</v>
      </c>
      <c r="B24" s="30" t="s">
        <v>219</v>
      </c>
      <c r="C24" s="30" t="s">
        <v>228</v>
      </c>
      <c r="D24" s="30">
        <v>1</v>
      </c>
      <c r="E24" s="30">
        <v>12500</v>
      </c>
      <c r="F24" s="30">
        <f t="shared" si="0"/>
        <v>12500</v>
      </c>
      <c r="G24" s="30"/>
      <c r="H24" s="30"/>
      <c r="I24" s="31">
        <f t="shared" si="2"/>
        <v>0</v>
      </c>
    </row>
    <row r="25" spans="1:9" x14ac:dyDescent="0.3">
      <c r="A25" s="1">
        <v>46218.072025462963</v>
      </c>
      <c r="B25" s="30" t="s">
        <v>232</v>
      </c>
      <c r="C25" s="30" t="s">
        <v>233</v>
      </c>
      <c r="D25" s="30">
        <v>1</v>
      </c>
      <c r="E25" s="30">
        <v>17500</v>
      </c>
      <c r="F25" s="30">
        <f t="shared" si="0"/>
        <v>17500</v>
      </c>
      <c r="G25" s="30"/>
      <c r="H25" s="30"/>
      <c r="I25" s="31">
        <f t="shared" si="2"/>
        <v>0</v>
      </c>
    </row>
    <row r="26" spans="1:9" x14ac:dyDescent="0.3">
      <c r="A26" s="1">
        <v>46218.072025462963</v>
      </c>
      <c r="B26" s="30" t="s">
        <v>207</v>
      </c>
      <c r="C26" s="30" t="s">
        <v>234</v>
      </c>
      <c r="D26" s="30">
        <v>1</v>
      </c>
      <c r="E26" s="30">
        <v>12500</v>
      </c>
      <c r="F26" s="30">
        <f t="shared" si="0"/>
        <v>12500</v>
      </c>
      <c r="G26" s="30"/>
      <c r="H26" s="30">
        <v>2500</v>
      </c>
      <c r="I26" s="31">
        <f t="shared" si="2"/>
        <v>2500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1DE736-B489-4F34-9C76-D60FAD163FDF}">
  <dimension ref="A1:R35"/>
  <sheetViews>
    <sheetView showGridLines="0" workbookViewId="0">
      <selection activeCell="N26" sqref="N26"/>
    </sheetView>
  </sheetViews>
  <sheetFormatPr baseColWidth="10" defaultRowHeight="14.4" x14ac:dyDescent="0.3"/>
  <sheetData>
    <row r="1" spans="1:18" ht="14.4" customHeight="1" x14ac:dyDescent="0.3">
      <c r="A1" s="39" t="s">
        <v>145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</row>
    <row r="2" spans="1:18" x14ac:dyDescent="0.3">
      <c r="A2" s="39"/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</row>
    <row r="3" spans="1:18" x14ac:dyDescent="0.3">
      <c r="A3" s="39"/>
      <c r="B3" s="39"/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</row>
    <row r="4" spans="1:18" x14ac:dyDescent="0.3">
      <c r="A4" s="18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</row>
    <row r="5" spans="1:18" x14ac:dyDescent="0.3">
      <c r="A5" s="18"/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</row>
    <row r="6" spans="1:18" x14ac:dyDescent="0.3">
      <c r="A6" s="18"/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</row>
    <row r="7" spans="1:18" x14ac:dyDescent="0.3">
      <c r="A7" s="18"/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</row>
    <row r="8" spans="1:18" x14ac:dyDescent="0.3">
      <c r="A8" s="18"/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</row>
    <row r="9" spans="1:18" x14ac:dyDescent="0.3">
      <c r="A9" s="18"/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</row>
    <row r="10" spans="1:18" x14ac:dyDescent="0.3">
      <c r="A10" s="18"/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</row>
    <row r="11" spans="1:18" x14ac:dyDescent="0.3">
      <c r="A11" s="18"/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</row>
    <row r="12" spans="1:18" x14ac:dyDescent="0.3">
      <c r="A12" s="18"/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</row>
    <row r="13" spans="1:18" x14ac:dyDescent="0.3">
      <c r="A13" s="18"/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</row>
    <row r="14" spans="1:18" x14ac:dyDescent="0.3">
      <c r="A14" s="18"/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</row>
    <row r="15" spans="1:18" x14ac:dyDescent="0.3">
      <c r="A15" s="18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</row>
    <row r="16" spans="1:18" x14ac:dyDescent="0.3">
      <c r="A16" s="18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</row>
    <row r="17" spans="1:18" x14ac:dyDescent="0.3">
      <c r="A17" s="18"/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</row>
    <row r="18" spans="1:18" x14ac:dyDescent="0.3">
      <c r="A18" s="18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</row>
    <row r="19" spans="1:18" x14ac:dyDescent="0.3">
      <c r="A19" s="18"/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</row>
    <row r="20" spans="1:18" x14ac:dyDescent="0.3">
      <c r="A20" s="18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</row>
    <row r="21" spans="1:18" x14ac:dyDescent="0.3">
      <c r="A21" s="18"/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</row>
    <row r="22" spans="1:18" ht="23.4" x14ac:dyDescent="0.45">
      <c r="A22" s="18"/>
      <c r="B22" s="18"/>
      <c r="C22" s="18"/>
      <c r="D22" s="18"/>
      <c r="E22" s="18"/>
      <c r="F22" s="18"/>
      <c r="G22" s="18"/>
      <c r="H22" s="18"/>
      <c r="I22" s="18"/>
      <c r="J22" s="40" t="s">
        <v>151</v>
      </c>
      <c r="K22" s="40"/>
      <c r="L22" s="18"/>
      <c r="M22" s="40" t="s">
        <v>151</v>
      </c>
      <c r="N22" s="40"/>
      <c r="O22" s="18"/>
      <c r="P22" s="18"/>
      <c r="Q22" s="18"/>
      <c r="R22" s="18"/>
    </row>
    <row r="23" spans="1:18" x14ac:dyDescent="0.3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</row>
    <row r="24" spans="1:18" x14ac:dyDescent="0.3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</row>
    <row r="25" spans="1:18" x14ac:dyDescent="0.3">
      <c r="A25" s="18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</row>
    <row r="26" spans="1:18" x14ac:dyDescent="0.3">
      <c r="A26" s="18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</row>
    <row r="27" spans="1:18" x14ac:dyDescent="0.3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</row>
    <row r="28" spans="1:18" x14ac:dyDescent="0.3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</row>
    <row r="29" spans="1:18" x14ac:dyDescent="0.3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</row>
    <row r="30" spans="1:18" x14ac:dyDescent="0.3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</row>
    <row r="31" spans="1:18" x14ac:dyDescent="0.3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</row>
    <row r="32" spans="1:18" x14ac:dyDescent="0.3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</row>
    <row r="33" spans="1:18" x14ac:dyDescent="0.3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</row>
    <row r="34" spans="1:18" x14ac:dyDescent="0.3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</row>
    <row r="35" spans="1:18" x14ac:dyDescent="0.3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</row>
  </sheetData>
  <mergeCells count="3">
    <mergeCell ref="A1:R3"/>
    <mergeCell ref="J22:K22"/>
    <mergeCell ref="M22:N22"/>
  </mergeCells>
  <pageMargins left="0.7" right="0.7" top="0.75" bottom="0.75" header="0.3" footer="0.3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AB6CD5-6C07-4A2A-ACB5-3ACFC583FA7A}">
  <dimension ref="A1:J24"/>
  <sheetViews>
    <sheetView tabSelected="1" zoomScale="117" workbookViewId="0">
      <pane ySplit="1" topLeftCell="A8" activePane="bottomLeft" state="frozen"/>
      <selection pane="bottomLeft" activeCell="C26" sqref="C26"/>
    </sheetView>
  </sheetViews>
  <sheetFormatPr baseColWidth="10" defaultRowHeight="14.4" x14ac:dyDescent="0.3"/>
  <cols>
    <col min="1" max="1" width="14.21875" bestFit="1" customWidth="1"/>
    <col min="3" max="3" width="23.77734375" bestFit="1" customWidth="1"/>
    <col min="4" max="4" width="19.5546875" customWidth="1"/>
    <col min="5" max="5" width="20.5546875" bestFit="1" customWidth="1"/>
    <col min="7" max="7" width="11.5546875" style="17"/>
  </cols>
  <sheetData>
    <row r="1" spans="1:10" x14ac:dyDescent="0.3">
      <c r="A1" s="14" t="s">
        <v>100</v>
      </c>
      <c r="B1" s="14" t="s">
        <v>114</v>
      </c>
      <c r="C1" s="12" t="s">
        <v>116</v>
      </c>
      <c r="D1" s="12" t="s">
        <v>117</v>
      </c>
      <c r="E1" s="12" t="s">
        <v>118</v>
      </c>
    </row>
    <row r="2" spans="1:10" x14ac:dyDescent="0.3">
      <c r="A2" s="11" t="s">
        <v>253</v>
      </c>
      <c r="B2" s="11">
        <v>4324464</v>
      </c>
      <c r="C2" s="10"/>
      <c r="I2" t="s">
        <v>250</v>
      </c>
      <c r="J2" t="s">
        <v>251</v>
      </c>
    </row>
    <row r="3" spans="1:10" x14ac:dyDescent="0.3">
      <c r="A3" s="10" t="s">
        <v>82</v>
      </c>
      <c r="B3" s="10">
        <v>4541035</v>
      </c>
      <c r="C3" s="10" t="s">
        <v>11</v>
      </c>
      <c r="D3" t="s">
        <v>102</v>
      </c>
      <c r="E3" s="35"/>
      <c r="G3" s="36" t="s">
        <v>150</v>
      </c>
      <c r="I3" t="s">
        <v>248</v>
      </c>
    </row>
    <row r="4" spans="1:10" x14ac:dyDescent="0.3">
      <c r="A4" s="11" t="s">
        <v>97</v>
      </c>
      <c r="B4" s="11">
        <v>4636761</v>
      </c>
      <c r="C4" s="11" t="s">
        <v>123</v>
      </c>
      <c r="D4" t="s">
        <v>121</v>
      </c>
      <c r="E4" s="16" t="s">
        <v>136</v>
      </c>
      <c r="F4" s="16" t="s">
        <v>147</v>
      </c>
      <c r="G4" s="20" t="s">
        <v>150</v>
      </c>
    </row>
    <row r="5" spans="1:10" x14ac:dyDescent="0.3">
      <c r="A5" s="11" t="s">
        <v>9</v>
      </c>
      <c r="B5" s="11">
        <v>4554529</v>
      </c>
      <c r="C5" s="11" t="s">
        <v>104</v>
      </c>
      <c r="D5" t="s">
        <v>103</v>
      </c>
      <c r="E5" s="15" t="s">
        <v>129</v>
      </c>
      <c r="G5" s="19" t="s">
        <v>150</v>
      </c>
      <c r="H5" t="s">
        <v>249</v>
      </c>
    </row>
    <row r="6" spans="1:10" x14ac:dyDescent="0.3">
      <c r="A6" s="10" t="s">
        <v>16</v>
      </c>
      <c r="B6" s="10">
        <v>4316190</v>
      </c>
      <c r="C6" s="10" t="s">
        <v>127</v>
      </c>
      <c r="D6" t="s">
        <v>104</v>
      </c>
      <c r="E6" t="s">
        <v>128</v>
      </c>
      <c r="G6" s="17" t="s">
        <v>150</v>
      </c>
      <c r="H6" t="s">
        <v>249</v>
      </c>
    </row>
    <row r="7" spans="1:10" x14ac:dyDescent="0.3">
      <c r="A7" s="10" t="s">
        <v>109</v>
      </c>
      <c r="B7" s="10">
        <v>4090831</v>
      </c>
      <c r="C7" s="10" t="s">
        <v>110</v>
      </c>
    </row>
    <row r="8" spans="1:10" x14ac:dyDescent="0.3">
      <c r="A8" s="11" t="s">
        <v>63</v>
      </c>
      <c r="B8" s="11">
        <v>4463888</v>
      </c>
      <c r="C8" s="11" t="s">
        <v>11</v>
      </c>
      <c r="D8" t="s">
        <v>104</v>
      </c>
      <c r="E8" s="16" t="s">
        <v>133</v>
      </c>
      <c r="F8">
        <v>4870594</v>
      </c>
      <c r="G8" s="20" t="s">
        <v>150</v>
      </c>
      <c r="H8" t="s">
        <v>157</v>
      </c>
    </row>
    <row r="9" spans="1:10" x14ac:dyDescent="0.3">
      <c r="A9" s="10" t="s">
        <v>3</v>
      </c>
      <c r="B9" s="10">
        <v>4561858</v>
      </c>
      <c r="C9" s="10" t="s">
        <v>89</v>
      </c>
      <c r="D9" t="s">
        <v>103</v>
      </c>
      <c r="E9" s="35"/>
      <c r="G9" s="17" t="s">
        <v>150</v>
      </c>
    </row>
    <row r="10" spans="1:10" x14ac:dyDescent="0.3">
      <c r="A10" s="11" t="s">
        <v>83</v>
      </c>
      <c r="B10" s="11">
        <v>3947053</v>
      </c>
      <c r="C10" s="11" t="s">
        <v>125</v>
      </c>
      <c r="D10" t="s">
        <v>119</v>
      </c>
      <c r="E10" s="16" t="s">
        <v>141</v>
      </c>
      <c r="F10" s="16" t="s">
        <v>149</v>
      </c>
      <c r="G10" s="20" t="s">
        <v>150</v>
      </c>
      <c r="H10" s="16" t="s">
        <v>157</v>
      </c>
    </row>
    <row r="11" spans="1:10" x14ac:dyDescent="0.3">
      <c r="A11" s="10" t="s">
        <v>255</v>
      </c>
      <c r="B11" s="10">
        <v>3239302</v>
      </c>
      <c r="C11" s="11" t="s">
        <v>148</v>
      </c>
      <c r="E11" s="35"/>
      <c r="F11" s="35"/>
      <c r="G11" s="36"/>
    </row>
    <row r="12" spans="1:10" x14ac:dyDescent="0.3">
      <c r="A12" s="10" t="s">
        <v>80</v>
      </c>
      <c r="B12" s="10">
        <v>4636772</v>
      </c>
      <c r="C12" s="10" t="s">
        <v>124</v>
      </c>
      <c r="D12" t="s">
        <v>119</v>
      </c>
      <c r="E12" t="s">
        <v>137</v>
      </c>
      <c r="F12" t="s">
        <v>147</v>
      </c>
      <c r="G12" s="17" t="s">
        <v>150</v>
      </c>
      <c r="H12" t="s">
        <v>247</v>
      </c>
    </row>
    <row r="13" spans="1:10" x14ac:dyDescent="0.3">
      <c r="A13" s="10" t="s">
        <v>62</v>
      </c>
      <c r="B13" s="10">
        <v>4221767</v>
      </c>
      <c r="C13" s="10" t="s">
        <v>11</v>
      </c>
      <c r="D13" t="s">
        <v>103</v>
      </c>
      <c r="G13" s="17" t="s">
        <v>150</v>
      </c>
    </row>
    <row r="14" spans="1:10" x14ac:dyDescent="0.3">
      <c r="A14" s="11" t="s">
        <v>115</v>
      </c>
      <c r="B14" s="11">
        <v>4209873</v>
      </c>
      <c r="C14" s="11" t="s">
        <v>102</v>
      </c>
      <c r="D14" t="s">
        <v>106</v>
      </c>
      <c r="E14" s="16"/>
      <c r="G14" s="17" t="s">
        <v>150</v>
      </c>
      <c r="I14" t="s">
        <v>248</v>
      </c>
      <c r="J14" t="s">
        <v>252</v>
      </c>
    </row>
    <row r="15" spans="1:10" x14ac:dyDescent="0.3">
      <c r="A15" s="10" t="s">
        <v>64</v>
      </c>
      <c r="B15" s="10">
        <v>4080782</v>
      </c>
      <c r="C15" s="10" t="s">
        <v>102</v>
      </c>
      <c r="D15" t="s">
        <v>106</v>
      </c>
      <c r="E15" t="s">
        <v>134</v>
      </c>
    </row>
    <row r="16" spans="1:10" x14ac:dyDescent="0.3">
      <c r="A16" s="11" t="s">
        <v>30</v>
      </c>
      <c r="B16" s="11">
        <v>4586158</v>
      </c>
      <c r="C16" s="11" t="s">
        <v>131</v>
      </c>
      <c r="D16" t="s">
        <v>102</v>
      </c>
      <c r="E16" s="16" t="s">
        <v>132</v>
      </c>
      <c r="G16" s="20" t="s">
        <v>150</v>
      </c>
    </row>
    <row r="17" spans="1:8" x14ac:dyDescent="0.3">
      <c r="A17" s="11" t="s">
        <v>152</v>
      </c>
      <c r="B17" s="11">
        <v>4476670</v>
      </c>
      <c r="C17" s="10"/>
      <c r="H17" t="s">
        <v>254</v>
      </c>
    </row>
    <row r="18" spans="1:8" x14ac:dyDescent="0.3">
      <c r="A18" s="10" t="s">
        <v>84</v>
      </c>
      <c r="B18" s="10">
        <v>4587817</v>
      </c>
      <c r="C18" s="10" t="s">
        <v>126</v>
      </c>
      <c r="D18" t="s">
        <v>142</v>
      </c>
      <c r="E18" t="s">
        <v>143</v>
      </c>
      <c r="F18" t="s">
        <v>148</v>
      </c>
      <c r="G18" s="17" t="s">
        <v>150</v>
      </c>
    </row>
    <row r="19" spans="1:8" x14ac:dyDescent="0.3">
      <c r="A19" s="10" t="s">
        <v>112</v>
      </c>
      <c r="B19" s="10">
        <v>4937885</v>
      </c>
      <c r="C19" s="11" t="s">
        <v>102</v>
      </c>
      <c r="D19" t="s">
        <v>106</v>
      </c>
      <c r="G19" s="17" t="s">
        <v>150</v>
      </c>
    </row>
    <row r="20" spans="1:8" x14ac:dyDescent="0.3">
      <c r="A20" s="13" t="s">
        <v>206</v>
      </c>
      <c r="B20" s="13">
        <v>4715137</v>
      </c>
      <c r="C20" s="11" t="s">
        <v>148</v>
      </c>
    </row>
    <row r="21" spans="1:8" x14ac:dyDescent="0.3">
      <c r="A21" s="21" t="s">
        <v>60</v>
      </c>
      <c r="B21" s="21">
        <v>4587811</v>
      </c>
      <c r="C21" s="16" t="s">
        <v>103</v>
      </c>
      <c r="D21" t="s">
        <v>120</v>
      </c>
      <c r="G21" s="17" t="s">
        <v>150</v>
      </c>
    </row>
    <row r="22" spans="1:8" x14ac:dyDescent="0.3">
      <c r="A22" s="21" t="s">
        <v>81</v>
      </c>
      <c r="B22" s="21">
        <v>4559847</v>
      </c>
      <c r="C22" s="15" t="s">
        <v>122</v>
      </c>
      <c r="D22" t="s">
        <v>121</v>
      </c>
      <c r="E22" s="16" t="s">
        <v>135</v>
      </c>
      <c r="F22" s="16" t="s">
        <v>149</v>
      </c>
      <c r="G22" s="20" t="s">
        <v>150</v>
      </c>
    </row>
    <row r="23" spans="1:8" x14ac:dyDescent="0.3">
      <c r="A23" s="21" t="s">
        <v>98</v>
      </c>
      <c r="B23" s="21">
        <v>3330821</v>
      </c>
      <c r="C23" s="16" t="s">
        <v>119</v>
      </c>
      <c r="D23" t="s">
        <v>102</v>
      </c>
      <c r="E23" s="16" t="s">
        <v>144</v>
      </c>
      <c r="F23" t="s">
        <v>148</v>
      </c>
      <c r="G23" s="17" t="s">
        <v>150</v>
      </c>
      <c r="H23" t="s">
        <v>157</v>
      </c>
    </row>
    <row r="24" spans="1:8" x14ac:dyDescent="0.3">
      <c r="A24" s="29" t="s">
        <v>43</v>
      </c>
      <c r="B24" s="29">
        <v>4348553</v>
      </c>
      <c r="C24" s="35" t="s">
        <v>102</v>
      </c>
      <c r="D24" t="s">
        <v>104</v>
      </c>
      <c r="E24" t="s">
        <v>130</v>
      </c>
      <c r="G24" s="17" t="s">
        <v>150</v>
      </c>
    </row>
  </sheetData>
  <autoFilter ref="A1:H21" xr:uid="{80AB6CD5-6C07-4A2A-ACB5-3ACFC583FA7A}">
    <sortState xmlns:xlrd2="http://schemas.microsoft.com/office/spreadsheetml/2017/richdata2" ref="A2:H24">
      <sortCondition ref="A1:A21"/>
    </sortState>
  </autoFilter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CACF1A-14BF-43F5-9C49-21850DF8610C}">
  <dimension ref="A2:L43"/>
  <sheetViews>
    <sheetView topLeftCell="A3" workbookViewId="0">
      <selection activeCell="C13" sqref="C13"/>
    </sheetView>
  </sheetViews>
  <sheetFormatPr baseColWidth="10" defaultRowHeight="14.4" x14ac:dyDescent="0.3"/>
  <cols>
    <col min="1" max="1" width="13.44140625" bestFit="1" customWidth="1"/>
    <col min="2" max="2" width="12.33203125" bestFit="1" customWidth="1"/>
    <col min="3" max="3" width="8.44140625" bestFit="1" customWidth="1"/>
    <col min="4" max="5" width="14.6640625" bestFit="1" customWidth="1"/>
    <col min="6" max="6" width="10.6640625" bestFit="1" customWidth="1"/>
    <col min="7" max="7" width="12.33203125" bestFit="1" customWidth="1"/>
    <col min="8" max="8" width="18.109375" bestFit="1" customWidth="1"/>
    <col min="9" max="9" width="6" bestFit="1" customWidth="1"/>
  </cols>
  <sheetData>
    <row r="2" spans="1:12" x14ac:dyDescent="0.3">
      <c r="H2" s="28" t="s">
        <v>168</v>
      </c>
    </row>
    <row r="3" spans="1:12" ht="15.6" x14ac:dyDescent="0.3">
      <c r="A3" s="27" t="s">
        <v>182</v>
      </c>
      <c r="B3" s="26" t="s">
        <v>159</v>
      </c>
      <c r="C3" s="26" t="s">
        <v>114</v>
      </c>
      <c r="D3" s="26" t="s">
        <v>116</v>
      </c>
      <c r="E3" s="26" t="s">
        <v>117</v>
      </c>
      <c r="F3" s="26" t="s">
        <v>160</v>
      </c>
      <c r="H3" s="26" t="s">
        <v>169</v>
      </c>
      <c r="I3">
        <v>12500</v>
      </c>
      <c r="J3" s="26" t="s">
        <v>150</v>
      </c>
    </row>
    <row r="4" spans="1:12" x14ac:dyDescent="0.3">
      <c r="B4" t="s">
        <v>163</v>
      </c>
      <c r="C4" s="10">
        <v>4636772</v>
      </c>
      <c r="D4" t="s">
        <v>127</v>
      </c>
      <c r="E4" t="s">
        <v>131</v>
      </c>
      <c r="F4" t="s">
        <v>170</v>
      </c>
      <c r="G4" s="10"/>
      <c r="H4" t="s">
        <v>127</v>
      </c>
      <c r="I4">
        <v>12500</v>
      </c>
      <c r="J4" t="s">
        <v>150</v>
      </c>
    </row>
    <row r="5" spans="1:12" x14ac:dyDescent="0.3">
      <c r="B5" t="s">
        <v>164</v>
      </c>
      <c r="C5" s="10">
        <v>4587817</v>
      </c>
      <c r="D5" t="s">
        <v>131</v>
      </c>
      <c r="E5" t="s">
        <v>190</v>
      </c>
      <c r="F5" t="s">
        <v>170</v>
      </c>
      <c r="H5" t="s">
        <v>131</v>
      </c>
      <c r="I5">
        <v>12500</v>
      </c>
      <c r="J5" t="s">
        <v>150</v>
      </c>
    </row>
    <row r="6" spans="1:12" x14ac:dyDescent="0.3">
      <c r="H6" t="s">
        <v>200</v>
      </c>
      <c r="I6">
        <v>17500</v>
      </c>
      <c r="J6" t="s">
        <v>150</v>
      </c>
    </row>
    <row r="7" spans="1:12" x14ac:dyDescent="0.3">
      <c r="H7" t="s">
        <v>190</v>
      </c>
      <c r="I7" t="s">
        <v>201</v>
      </c>
    </row>
    <row r="8" spans="1:12" x14ac:dyDescent="0.3">
      <c r="A8" s="26" t="s">
        <v>183</v>
      </c>
      <c r="B8" s="26" t="s">
        <v>159</v>
      </c>
      <c r="C8" s="26" t="s">
        <v>114</v>
      </c>
      <c r="D8" s="26" t="s">
        <v>116</v>
      </c>
      <c r="E8" s="26" t="s">
        <v>117</v>
      </c>
      <c r="F8" s="26" t="s">
        <v>160</v>
      </c>
      <c r="H8" s="28" t="s">
        <v>170</v>
      </c>
      <c r="I8" s="26" t="s">
        <v>202</v>
      </c>
    </row>
    <row r="9" spans="1:12" x14ac:dyDescent="0.3">
      <c r="B9" t="s">
        <v>161</v>
      </c>
      <c r="C9" s="11">
        <v>4554529</v>
      </c>
      <c r="D9" t="s">
        <v>191</v>
      </c>
      <c r="E9" t="s">
        <v>127</v>
      </c>
    </row>
    <row r="10" spans="1:12" x14ac:dyDescent="0.3">
      <c r="A10" t="s">
        <v>203</v>
      </c>
      <c r="B10" t="s">
        <v>167</v>
      </c>
      <c r="C10" s="10">
        <v>4348553</v>
      </c>
      <c r="D10" t="s">
        <v>188</v>
      </c>
      <c r="E10" t="s">
        <v>190</v>
      </c>
    </row>
    <row r="11" spans="1:12" x14ac:dyDescent="0.3">
      <c r="L11" t="s">
        <v>180</v>
      </c>
    </row>
    <row r="14" spans="1:12" x14ac:dyDescent="0.3">
      <c r="A14" s="26" t="s">
        <v>184</v>
      </c>
      <c r="B14" s="26" t="s">
        <v>159</v>
      </c>
      <c r="C14" s="26" t="s">
        <v>114</v>
      </c>
      <c r="D14" s="26" t="s">
        <v>116</v>
      </c>
      <c r="E14" s="26" t="s">
        <v>117</v>
      </c>
      <c r="F14" s="26" t="s">
        <v>160</v>
      </c>
    </row>
    <row r="15" spans="1:12" x14ac:dyDescent="0.3">
      <c r="B15" t="s">
        <v>166</v>
      </c>
      <c r="C15" s="11">
        <v>4559847</v>
      </c>
      <c r="D15" t="s">
        <v>127</v>
      </c>
      <c r="E15" t="s">
        <v>191</v>
      </c>
      <c r="F15" t="s">
        <v>194</v>
      </c>
      <c r="G15" t="s">
        <v>197</v>
      </c>
    </row>
    <row r="16" spans="1:12" x14ac:dyDescent="0.3">
      <c r="B16" t="s">
        <v>165</v>
      </c>
      <c r="C16" s="11">
        <v>4586158</v>
      </c>
      <c r="D16" t="s">
        <v>191</v>
      </c>
      <c r="E16" t="s">
        <v>131</v>
      </c>
      <c r="F16" t="s">
        <v>195</v>
      </c>
      <c r="G16" t="s">
        <v>198</v>
      </c>
    </row>
    <row r="19" spans="1:8" x14ac:dyDescent="0.3">
      <c r="A19" s="26" t="s">
        <v>185</v>
      </c>
      <c r="B19" s="26" t="s">
        <v>159</v>
      </c>
      <c r="C19" s="26" t="s">
        <v>114</v>
      </c>
      <c r="D19" s="26" t="s">
        <v>116</v>
      </c>
      <c r="E19" s="26" t="s">
        <v>117</v>
      </c>
      <c r="F19" s="26" t="s">
        <v>160</v>
      </c>
    </row>
    <row r="20" spans="1:8" x14ac:dyDescent="0.3">
      <c r="B20" t="s">
        <v>187</v>
      </c>
      <c r="C20" s="10">
        <v>4336877</v>
      </c>
      <c r="D20" t="s">
        <v>131</v>
      </c>
      <c r="E20" t="s">
        <v>188</v>
      </c>
      <c r="F20" t="s">
        <v>196</v>
      </c>
    </row>
    <row r="21" spans="1:8" x14ac:dyDescent="0.3">
      <c r="B21" t="s">
        <v>189</v>
      </c>
      <c r="C21">
        <v>4605616</v>
      </c>
      <c r="D21" t="s">
        <v>192</v>
      </c>
      <c r="E21" t="s">
        <v>127</v>
      </c>
      <c r="F21" t="s">
        <v>199</v>
      </c>
    </row>
    <row r="23" spans="1:8" x14ac:dyDescent="0.3">
      <c r="A23" s="26" t="s">
        <v>162</v>
      </c>
      <c r="B23" s="26" t="s">
        <v>159</v>
      </c>
      <c r="C23" s="26" t="s">
        <v>114</v>
      </c>
      <c r="D23" s="26" t="s">
        <v>116</v>
      </c>
      <c r="E23" s="26" t="s">
        <v>117</v>
      </c>
      <c r="F23" s="26" t="s">
        <v>160</v>
      </c>
    </row>
    <row r="24" spans="1:8" x14ac:dyDescent="0.3">
      <c r="B24" t="s">
        <v>105</v>
      </c>
      <c r="C24" s="10">
        <v>4316190</v>
      </c>
      <c r="D24" t="s">
        <v>190</v>
      </c>
      <c r="E24" t="s">
        <v>191</v>
      </c>
    </row>
    <row r="25" spans="1:8" x14ac:dyDescent="0.3">
      <c r="A25" t="s">
        <v>203</v>
      </c>
      <c r="C25" s="11"/>
    </row>
    <row r="28" spans="1:8" x14ac:dyDescent="0.3">
      <c r="A28" s="26" t="s">
        <v>186</v>
      </c>
      <c r="B28" s="26" t="s">
        <v>159</v>
      </c>
      <c r="C28" s="26" t="s">
        <v>114</v>
      </c>
      <c r="D28" s="26" t="s">
        <v>116</v>
      </c>
      <c r="E28" s="26" t="s">
        <v>117</v>
      </c>
      <c r="F28" s="26" t="s">
        <v>160</v>
      </c>
    </row>
    <row r="29" spans="1:8" x14ac:dyDescent="0.3">
      <c r="B29" t="s">
        <v>181</v>
      </c>
      <c r="C29" s="11">
        <v>3330821</v>
      </c>
      <c r="D29" t="s">
        <v>169</v>
      </c>
      <c r="E29" t="s">
        <v>188</v>
      </c>
    </row>
    <row r="30" spans="1:8" x14ac:dyDescent="0.3">
      <c r="B30" t="s">
        <v>107</v>
      </c>
      <c r="C30" s="11">
        <v>4463888</v>
      </c>
      <c r="D30" t="s">
        <v>131</v>
      </c>
      <c r="E30" t="s">
        <v>193</v>
      </c>
    </row>
    <row r="32" spans="1:8" x14ac:dyDescent="0.3">
      <c r="A32" s="38" t="s">
        <v>256</v>
      </c>
      <c r="B32" s="38"/>
      <c r="C32" s="38"/>
      <c r="D32" s="38"/>
      <c r="E32" s="38"/>
      <c r="F32" s="38"/>
      <c r="G32" s="38"/>
      <c r="H32" s="38"/>
    </row>
    <row r="33" spans="1:8" x14ac:dyDescent="0.3">
      <c r="A33" s="38"/>
      <c r="B33" s="38"/>
      <c r="C33" s="38"/>
      <c r="D33" s="38"/>
      <c r="E33" s="38"/>
      <c r="F33" s="38"/>
      <c r="G33" s="38"/>
      <c r="H33" s="38"/>
    </row>
    <row r="35" spans="1:8" x14ac:dyDescent="0.3">
      <c r="A35" s="26" t="s">
        <v>257</v>
      </c>
      <c r="B35" s="26" t="s">
        <v>159</v>
      </c>
      <c r="C35" s="26" t="s">
        <v>114</v>
      </c>
      <c r="D35" s="26" t="s">
        <v>116</v>
      </c>
      <c r="E35" s="26" t="s">
        <v>117</v>
      </c>
    </row>
    <row r="36" spans="1:8" x14ac:dyDescent="0.3">
      <c r="B36" t="s">
        <v>161</v>
      </c>
      <c r="C36" s="37">
        <v>4554529</v>
      </c>
    </row>
    <row r="37" spans="1:8" x14ac:dyDescent="0.3">
      <c r="B37" t="s">
        <v>105</v>
      </c>
      <c r="C37" s="10">
        <v>4316190</v>
      </c>
    </row>
    <row r="38" spans="1:8" x14ac:dyDescent="0.3">
      <c r="B38" t="s">
        <v>167</v>
      </c>
      <c r="C38" s="10">
        <v>4348553</v>
      </c>
    </row>
    <row r="39" spans="1:8" x14ac:dyDescent="0.3">
      <c r="B39" t="s">
        <v>258</v>
      </c>
    </row>
    <row r="40" spans="1:8" x14ac:dyDescent="0.3">
      <c r="B40" t="s">
        <v>164</v>
      </c>
    </row>
    <row r="41" spans="1:8" x14ac:dyDescent="0.3">
      <c r="B41" t="s">
        <v>163</v>
      </c>
    </row>
    <row r="43" spans="1:8" x14ac:dyDescent="0.3">
      <c r="A43" s="26" t="s">
        <v>257</v>
      </c>
      <c r="B43" s="26" t="s">
        <v>159</v>
      </c>
      <c r="C43" s="26" t="s">
        <v>114</v>
      </c>
      <c r="D43" s="26" t="s">
        <v>116</v>
      </c>
      <c r="E43" s="26" t="s">
        <v>117</v>
      </c>
    </row>
  </sheetData>
  <mergeCells count="1">
    <mergeCell ref="A32:H33"/>
  </mergeCells>
  <conditionalFormatting sqref="H3:H8 J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7</vt:i4>
      </vt:variant>
    </vt:vector>
  </HeadingPairs>
  <TitlesOfParts>
    <vt:vector size="7" baseType="lpstr">
      <vt:lpstr>APC</vt:lpstr>
      <vt:lpstr>TCD-AGENT</vt:lpstr>
      <vt:lpstr>Feuil2</vt:lpstr>
      <vt:lpstr>Feuil1</vt:lpstr>
      <vt:lpstr>TABLEAU DE BORD</vt:lpstr>
      <vt:lpstr>agent-num</vt:lpstr>
      <vt:lpstr>TEAMS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FAROUK EMBDOULLAH TAKWIM</dc:creator>
  <cp:lastModifiedBy>MOHAMED FAROUK EMBDOULLAH TAKWIM</cp:lastModifiedBy>
  <dcterms:created xsi:type="dcterms:W3CDTF">2026-04-13T10:25:19Z</dcterms:created>
  <dcterms:modified xsi:type="dcterms:W3CDTF">2026-07-29T07:40:11Z</dcterms:modified>
</cp:coreProperties>
</file>